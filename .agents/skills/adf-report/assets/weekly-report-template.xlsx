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Relationship Id="rId4" Type="http://schemas.openxmlformats.org/officeDocument/2006/relationships/custom-properties" Target="docProps/custom.xml" /><Relationship Id="rId5" Type="http://schemas.microsoft.com/office/2020/02/relationships/classificationlabels" Target="docMetadata/LabelInfo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613"/>
  <workbookPr/>
  <xr:revisionPtr revIDLastSave="5" documentId="8_{2ED2D68A-512F-43B6-B658-0DD6F42D8DDB}" xr6:coauthVersionLast="47" xr6:coauthVersionMax="47" xr10:uidLastSave="{0F4FB48D-F7EA-4FDB-B557-EDD8EE3C117F}"/>
  <bookViews>
    <workbookView xWindow="0" yWindow="0" windowWidth="0" windowHeight="0" firstSheet="4" xr2:uid="{00000000-000D-0000-FFFF-FFFF00000000}"/>
  </bookViews>
  <sheets>
    <sheet name="Weekly Report" sheetId="8" r:id="rId1"/>
    <sheet name="Leave Plan" sheetId="9" r:id="rId2"/>
    <sheet name="Task Detail" sheetId="10" r:id="rId3"/>
    <sheet name="WBS Timeline" sheetId="11" r:id="rId4"/>
    <sheet name="Quality Metrics" sheetId="12" r:id="rId5"/>
    <sheet name="Risks &amp; Open Questions" sheetId="13" r:id="rId6"/>
  </sheets>
  <definedNames>
    <definedName name="_xlnm._FilterDatabase" localSheetId="5" hidden="1">'Risks &amp; Open Questions'!$A$4:$H$17</definedName>
    <definedName name="_xlnm._FilterDatabase" localSheetId="2" hidden="1">'Task Detail'!$A$4:$H$33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6" i="10" l="1" a="1"/>
  <c r="G7" i="10" a="1"/>
  <c r="G8" i="10" a="1"/>
  <c r="G9" i="10" a="1"/>
  <c r="G10" i="10" a="1"/>
  <c r="G11" i="10" a="1"/>
  <c r="G12" i="10" a="1"/>
  <c r="G13" i="10" a="1"/>
  <c r="G14" i="10" a="1"/>
  <c r="G15" i="10" a="1"/>
  <c r="G16" i="10" a="1"/>
  <c r="G17" i="10" a="1"/>
  <c r="G18" i="10" a="1"/>
  <c r="G19" i="10" a="1"/>
  <c r="G20" i="10" a="1"/>
  <c r="G21" i="10" a="1"/>
  <c r="G22" i="10" a="1"/>
  <c r="G23" i="10" a="1"/>
  <c r="G24" i="10" a="1"/>
  <c r="G25" i="10" a="1"/>
  <c r="G26" i="10" a="1"/>
  <c r="G27" i="10" a="1"/>
  <c r="G28" i="10" a="1"/>
  <c r="G29" i="10" a="1"/>
  <c r="G30" i="10" a="1"/>
  <c r="G31" i="10" a="1"/>
  <c r="G32" i="10" a="1"/>
  <c r="G5" i="10" a="1"/>
  <c r="F16" i="12"/>
  <c r="E16" i="12"/>
  <c r="K5" i="11"/>
  <c r="G7" i="9"/>
  <c r="G6" i="9"/>
  <c r="G5" i="9"/>
  <c r="F7" i="9"/>
  <c r="F6" i="9"/>
  <c r="F5" i="9"/>
  <c r="H18" i="13"/>
  <c r="F18" i="13"/>
  <c r="K19" i="11"/>
  <c r="K18" i="11"/>
  <c r="K17" i="11"/>
  <c r="K16" i="11"/>
  <c r="K15" i="11"/>
  <c r="K14" i="11"/>
  <c r="K13" i="11"/>
  <c r="K12" i="11"/>
  <c r="K11" i="11"/>
  <c r="K10" i="11"/>
  <c r="K9" i="11"/>
  <c r="K8" i="11"/>
  <c r="K7" i="11"/>
  <c r="K6" i="11"/>
  <c r="H33" i="10"/>
  <c r="F33" i="10"/>
  <c r="C7" i="8"/>
  <c r="J20" i="11"/>
  <c r="I20" i="11"/>
  <c r="H20" i="11"/>
  <c r="G20" i="11"/>
  <c r="F20" i="11"/>
  <c r="E20" i="11"/>
  <c r="K20" i="11"/>
  <c r="D15" i="9"/>
  <c r="E15" i="9" s="1"/>
  <c r="C8" i="8" s="1"/>
  <c r="D14" i="9"/>
  <c r="E14" i="9" s="1"/>
  <c r="G8" i="9"/>
  <c r="F15" i="9" s="1"/>
  <c r="F8" i="9"/>
  <c r="F14" i="9" s="1"/>
  <c r="F16" i="9" s="1"/>
  <c r="G33" i="10" l="1"/>
  <c r="G14" i="9"/>
  <c r="E16" i="9"/>
  <c r="G15" i="9"/>
  <c r="G16" i="9" l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<sst xmlns="http://schemas.openxmlformats.org/spreadsheetml/2006/main" count="170" uniqueCount="109">
  <si>
    <t>[PROJECT NAME] — PROJECT WEEKLY REPORT</t>
  </si>
  <si>
    <t>Weekly Report · [YYYY.MM.DD ~ YYYY.MM.DD] · [Week X of Sprint Y]</t>
  </si>
  <si>
    <t>Reporting period</t>
  </si>
  <si>
    <t>[YYYY.MM.DD ~ YYYY.MM.DD]</t>
  </si>
  <si>
    <t>Sprint</t>
  </si>
  <si>
    <t>[Sprint / timeline]</t>
  </si>
  <si>
    <t>Overall status</t>
  </si>
  <si>
    <t>[Summarize in 2–3 sentences: key results, commitment performance, and the main blocker]</t>
  </si>
  <si>
    <t>Stories (/MD) complete</t>
  </si>
  <si>
    <t>Team availability (MD)</t>
  </si>
  <si>
    <t>Prepared by</t>
  </si>
  <si>
    <t>[Prepared by]</t>
  </si>
  <si>
    <t>Issued</t>
  </si>
  <si>
    <t>[YYYY.MM.DD]</t>
  </si>
  <si>
    <t>1.  Progress</t>
  </si>
  <si>
    <t>No</t>
  </si>
  <si>
    <t>Phase</t>
  </si>
  <si>
    <t>Task</t>
  </si>
  <si>
    <t>Current week · [DATE RANGE]</t>
  </si>
  <si>
    <t>Plan for next week · [DATE RANGE]</t>
  </si>
  <si>
    <t>[Phase 1]</t>
  </si>
  <si>
    <t>2.  Personal Report</t>
  </si>
  <si>
    <t>Role</t>
  </si>
  <si>
    <t>Name</t>
  </si>
  <si>
    <t>Contribution this week</t>
  </si>
  <si>
    <t>Plan for next week</t>
  </si>
  <si>
    <t>[Role]</t>
  </si>
  <si>
    <t>[Team member]</t>
  </si>
  <si>
    <t>Key contribution this week: Action + Object + Result/Output + Status + Target Date​</t>
  </si>
  <si>
    <t>Action + Object + Expected Result/Output + Target Date​</t>
  </si>
  <si>
    <t>Capacity note — [Explain the gap between available capacity and committed load, including any blocker or leave impact.]</t>
  </si>
  <si>
    <t>Leave plan · current week [DATE RANGE] · next week [DATE RANGE]</t>
  </si>
  <si>
    <t>Leave date(s) · current week
YYYY/MM/DD – Full day / Morning / Afternoon</t>
  </si>
  <si>
    <t>Leave date(s) · next week
YYYY/MM/DD – Full day / Morning / Afternoon</t>
  </si>
  <si>
    <t>Leave (days)
current week</t>
  </si>
  <si>
    <t>Leave (days)
next week</t>
  </si>
  <si>
    <t>Impact / Back-up owner</t>
  </si>
  <si>
    <t>No leave</t>
  </si>
  <si>
    <t>Total leave</t>
  </si>
  <si>
    <t>Calculated automatically from the leave entries above.</t>
  </si>
  <si>
    <t>INPUT FORMAT  •  2026/10/23 – Full day; 2026/10/24 – Morning  •  Separate multiple dates with a semicolon  •  Enter “No leave” when not applicable.</t>
  </si>
  <si>
    <t>Sprint Capacity</t>
  </si>
  <si>
    <t>Week</t>
  </si>
  <si>
    <t>Working
days</t>
  </si>
  <si>
    <t>Team
size</t>
  </si>
  <si>
    <t>Capacity
(md)</t>
  </si>
  <si>
    <t>Leave
(md)</t>
  </si>
  <si>
    <t>Available
(md)</t>
  </si>
  <si>
    <t>Notes</t>
  </si>
  <si>
    <t>Next week · [DATE RANGE] - Sprint N - Week 1</t>
  </si>
  <si>
    <t>[Capacity note]</t>
  </si>
  <si>
    <t>Following week · [DATE RANGE]  - Sprint N - Week 2</t>
  </si>
  <si>
    <t>Two-week total</t>
  </si>
  <si>
    <t>1 sprint (two-week) availability total.</t>
  </si>
  <si>
    <t>Task detail · [DATE RANGE] · update all tasks worked on during the week</t>
  </si>
  <si>
    <t>Story ID</t>
  </si>
  <si>
    <t>Module</t>
  </si>
  <si>
    <t>Assignee</t>
  </si>
  <si>
    <t>Status</t>
  </si>
  <si>
    <t>Progress</t>
  </si>
  <si>
    <t>To Do</t>
  </si>
  <si>
    <t>In Progress</t>
  </si>
  <si>
    <t>In Review</t>
  </si>
  <si>
    <t>Ready to Test</t>
  </si>
  <si>
    <t>Done</t>
  </si>
  <si>
    <t>Canceled</t>
  </si>
  <si>
    <t>Completion</t>
  </si>
  <si>
    <t>Status, progress, and task levels can be customized based on each project's definitions. However, the status should use common terms such as: To Do, In Progress, In Review, Ready to Test, Done, Canceled.
Note if there are any risk/ block/ dependency.</t>
  </si>
  <si>
    <t>WBS timeline · N sprints × 2 weeks · [START DATE] → [END DATE]</t>
  </si>
  <si>
    <t>Phase / Epic</t>
  </si>
  <si>
    <t>Owner</t>
  </si>
  <si>
    <t>S1
[DATE RANGE]</t>
  </si>
  <si>
    <t>S2
[DATE RANGE]</t>
  </si>
  <si>
    <t>S3
[DATE RANGE]</t>
  </si>
  <si>
    <t>S4
[DATE RANGE]</t>
  </si>
  <si>
    <t>S5
[DATE RANGE]</t>
  </si>
  <si>
    <t>S-N
[DATE RANGE]</t>
  </si>
  <si>
    <t>Duration
(MD)</t>
  </si>
  <si>
    <t>Committed sprint-load (MD)</t>
  </si>
  <si>
    <t>Key Milestones</t>
  </si>
  <si>
    <t>Sprint/ Key Milestone</t>
  </si>
  <si>
    <t>End date</t>
  </si>
  <si>
    <t>Key WBS scope in this sprint / milestone plan</t>
  </si>
  <si>
    <t>Quality metrics · measured [DATE] against [BRANCH / BUILD]</t>
  </si>
  <si>
    <t>Metric</t>
  </si>
  <si>
    <t>Result</t>
  </si>
  <si>
    <t>Target</t>
  </si>
  <si>
    <t>Pass</t>
  </si>
  <si>
    <t>Needs Improvement</t>
  </si>
  <si>
    <t>At Risk</t>
  </si>
  <si>
    <t>Blocked</t>
  </si>
  <si>
    <t>Metrics meeting target</t>
  </si>
  <si>
    <t>STATUS GUIDE  •  Pass: Meets the target  •  Needs Improvement: Does not fully meet the target and requires improvement  •  At Risk: At risk of instability or missing the target; action required  •  Blocked: Cannot proceed due to external dependencies or impediments</t>
  </si>
  <si>
    <t>Management note — [Describe the quality trend, metrics below target, root causes, and corrective actions for next week.]</t>
  </si>
  <si>
    <t>Issues/ Risks and open questions · update weekly before issuing the report</t>
  </si>
  <si>
    <t>Ref</t>
  </si>
  <si>
    <t>Issue/ Risk / Question</t>
  </si>
  <si>
    <t>Impact if unanswered</t>
  </si>
  <si>
    <t>Raised Date</t>
  </si>
  <si>
    <t>Resolution Due Date</t>
  </si>
  <si>
    <t>Action Owner</t>
  </si>
  <si>
    <t>Severity</t>
  </si>
  <si>
    <t>High</t>
  </si>
  <si>
    <t>Low</t>
  </si>
  <si>
    <t>Medium</t>
  </si>
  <si>
    <t>Resolved</t>
  </si>
  <si>
    <t>Critical</t>
  </si>
  <si>
    <t>Severity breakdown</t>
  </si>
  <si>
    <t>ACTION REQUIRED — [Summarize the decisions or answers needed, deadline, owner, and impact on the plan if unresolved.]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</si>
</sst>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yyyy/mm/dd"/>
    <numFmt numFmtId="166" formatCode="&quot;W&quot;0"/>
  </numFmts>
  <fonts count="18">
    <font>
      <sz val="11"/>
      <color theme="1"/>
      <name val="Calibri"/>
      <family val="2"/>
      <scheme val="minor"/>
    </font>
    <font>
      <b/>
      <sz val="10"/>
      <color rgb="FFFFFFFF"/>
      <name val="Aptos"/>
    </font>
    <font>
      <b/>
      <sz val="10"/>
      <color rgb="FF243447"/>
      <name val="Aptos"/>
    </font>
    <font>
      <sz val="10"/>
      <color rgb="FF243447"/>
      <name val="Aptos"/>
    </font>
    <font>
      <i/>
      <sz val="10"/>
      <color rgb="FF244B70"/>
      <name val="Aptos"/>
    </font>
    <font>
      <i/>
      <sz val="10"/>
      <color rgb="FF244B70"/>
      <name val="Calibri"/>
      <family val="2"/>
      <scheme val="minor"/>
    </font>
    <font>
      <i/>
      <sz val="10"/>
      <color rgb="FF59697A"/>
      <name val="Aptos"/>
    </font>
    <font>
      <b/>
      <sz val="10"/>
      <color rgb="FF0B1F33"/>
      <name val="Aptos"/>
    </font>
    <font>
      <b/>
      <strike/>
      <sz val="18"/>
      <color rgb="FFFFFFFF"/>
      <name val="Calibri"/>
      <family val="2"/>
      <scheme val="minor"/>
    </font>
    <font>
      <b/>
      <sz val="18"/>
      <color rgb="FF002060"/>
      <name val="Aptos"/>
    </font>
    <font>
      <b/>
      <sz val="18"/>
      <color rgb="FF002060"/>
      <name val="Calibri"/>
      <family val="2"/>
      <scheme val="minor"/>
    </font>
    <font>
      <b/>
      <sz val="12"/>
      <color rgb="FF002060"/>
      <name val="Aptos"/>
    </font>
    <font>
      <b/>
      <sz val="18"/>
      <color rgb="FFFFFFFF"/>
      <name val="Aptos"/>
    </font>
    <font>
      <i/>
      <sz val="10"/>
      <color rgb="FF17365D"/>
      <name val="Aptos"/>
    </font>
    <font>
      <sz val="10"/>
      <color rgb="FF7F6000"/>
      <name val="Aptos"/>
    </font>
    <font>
      <i/>
      <sz val="10"/>
      <color rgb="FFFF0000"/>
      <name val="Aptos"/>
    </font>
    <font>
      <sz val="10"/>
      <color rgb="FFFFFFFF"/>
      <name val="Aptos"/>
    </font>
    <font>
      <b/>
      <sz val="10"/>
      <color theme="0"/>
      <name val="Aptos"/>
    </font>
  </fonts>
  <fills count="1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E8EFF5"/>
        <bgColor indexed="64"/>
      </patternFill>
    </fill>
    <fill>
      <patternFill patternType="solid">
        <fgColor rgb="FF244B70"/>
        <bgColor indexed="64"/>
      </patternFill>
    </fill>
    <fill>
      <patternFill patternType="solid">
        <fgColor rgb="FFF5F7FA"/>
        <bgColor indexed="64"/>
      </patternFill>
    </fill>
    <fill>
      <patternFill patternType="solid">
        <fgColor rgb="FFF8FAFC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17365D"/>
        <bgColor indexed="64"/>
      </patternFill>
    </fill>
    <fill>
      <patternFill patternType="solid">
        <fgColor rgb="FFD9EAF7"/>
        <bgColor indexed="64"/>
      </patternFill>
    </fill>
    <fill>
      <patternFill patternType="solid">
        <fgColor rgb="FF1F4E78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E2F0D9"/>
        <bgColor indexed="64"/>
      </patternFill>
    </fill>
  </fills>
  <borders count="16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  <border>
      <left style="thin">
        <color rgb="FFCBD5E1"/>
      </left>
      <right style="thin">
        <color rgb="FFCBD5E1"/>
      </right>
      <top style="thin">
        <color rgb="FFCBD5E1"/>
      </top>
      <bottom/>
      <diagonal/>
    </border>
    <border>
      <left style="thin">
        <color rgb="FFC8D3DE"/>
      </left>
      <right style="thin">
        <color rgb="FFC8D3DE"/>
      </right>
      <top style="thin">
        <color rgb="FFC8D3DE"/>
      </top>
      <bottom style="thin">
        <color rgb="FFC8D3DE"/>
      </bottom>
      <diagonal/>
    </border>
    <border>
      <left style="thin">
        <color rgb="FFC8D3DE"/>
      </left>
      <right/>
      <top style="thin">
        <color rgb="FFC8D3DE"/>
      </top>
      <bottom style="thin">
        <color rgb="FFC8D3DE"/>
      </bottom>
      <diagonal/>
    </border>
    <border>
      <left style="thin">
        <color rgb="FFC8D3DE"/>
      </left>
      <right style="thin">
        <color rgb="FFC8D3DE"/>
      </right>
      <top style="thin">
        <color rgb="FFC8D3DE"/>
      </top>
      <bottom/>
      <diagonal/>
    </border>
    <border>
      <left style="thin">
        <color rgb="FFB8C7D9"/>
      </left>
      <right style="thin">
        <color rgb="FFB8C7D9"/>
      </right>
      <top style="thin">
        <color rgb="FFB8C7D9"/>
      </top>
      <bottom style="thin">
        <color rgb="FFB8C7D9"/>
      </bottom>
      <diagonal/>
    </border>
    <border>
      <left style="thin">
        <color rgb="FFC8D3DE"/>
      </left>
      <right/>
      <top/>
      <bottom/>
      <diagonal/>
    </border>
    <border>
      <left/>
      <right style="thin">
        <color rgb="FFC8D3DE"/>
      </right>
      <top style="thin">
        <color rgb="FFC8D3DE"/>
      </top>
      <bottom style="thin">
        <color rgb="FFC8D3DE"/>
      </bottom>
      <diagonal/>
    </border>
    <border>
      <left/>
      <right/>
      <top style="thin">
        <color rgb="FFC8D3DE"/>
      </top>
      <bottom style="thin">
        <color rgb="FFC8D3DE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CBD5E1"/>
      </left>
      <right/>
      <top/>
      <bottom style="thin">
        <color rgb="FFBFBFBF"/>
      </bottom>
      <diagonal/>
    </border>
    <border>
      <left/>
      <right/>
      <top/>
      <bottom style="thin">
        <color rgb="FFBFBFBF"/>
      </bottom>
      <diagonal/>
    </border>
    <border>
      <left style="thin">
        <color rgb="FFBFBFBF"/>
      </left>
      <right/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13">
    <xf numFmtId="0" fontId="0" fillId="0" borderId="0" xfId="0"/>
    <xf numFmtId="0" fontId="3" fillId="2" borderId="0" xfId="0" applyFont="1" applyFill="1" applyAlignment="1">
      <alignment vertical="center"/>
    </xf>
    <xf numFmtId="0" fontId="4" fillId="3" borderId="0" xfId="0" applyFont="1" applyFill="1" applyAlignment="1">
      <alignment horizontal="left" vertical="center" wrapText="1"/>
    </xf>
    <xf numFmtId="0" fontId="5" fillId="3" borderId="0" xfId="0" applyFont="1" applyFill="1"/>
    <xf numFmtId="0" fontId="2" fillId="2" borderId="3" xfId="0" applyFont="1" applyFill="1" applyBorder="1" applyAlignment="1">
      <alignment horizontal="left" vertical="center" wrapText="1"/>
    </xf>
    <xf numFmtId="0" fontId="1" fillId="4" borderId="5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left" vertical="center" wrapText="1"/>
    </xf>
    <xf numFmtId="164" fontId="2" fillId="2" borderId="3" xfId="0" applyNumberFormat="1" applyFont="1" applyFill="1" applyBorder="1" applyAlignment="1">
      <alignment horizontal="center" vertical="center" wrapText="1"/>
    </xf>
    <xf numFmtId="0" fontId="3" fillId="2" borderId="5" xfId="0" applyFont="1" applyFill="1" applyBorder="1" applyAlignment="1">
      <alignment horizontal="center" vertical="center" wrapText="1"/>
    </xf>
    <xf numFmtId="0" fontId="3" fillId="2" borderId="5" xfId="0" applyFont="1" applyFill="1" applyBorder="1" applyAlignment="1">
      <alignment horizontal="left" vertical="center" wrapText="1"/>
    </xf>
    <xf numFmtId="0" fontId="2" fillId="2" borderId="5" xfId="0" applyFont="1" applyFill="1" applyBorder="1" applyAlignment="1">
      <alignment horizontal="left" vertical="center" wrapText="1"/>
    </xf>
    <xf numFmtId="164" fontId="2" fillId="2" borderId="5" xfId="0" applyNumberFormat="1" applyFont="1" applyFill="1" applyBorder="1" applyAlignment="1">
      <alignment horizontal="center" vertical="center" wrapText="1"/>
    </xf>
    <xf numFmtId="0" fontId="7" fillId="3" borderId="3" xfId="0" applyFont="1" applyFill="1" applyBorder="1" applyAlignment="1">
      <alignment vertical="center"/>
    </xf>
    <xf numFmtId="164" fontId="7" fillId="3" borderId="3" xfId="0" applyNumberFormat="1" applyFont="1" applyFill="1" applyBorder="1" applyAlignment="1">
      <alignment horizontal="center" vertical="center" wrapText="1"/>
    </xf>
    <xf numFmtId="0" fontId="7" fillId="3" borderId="3" xfId="0" applyFont="1" applyFill="1" applyBorder="1" applyAlignment="1">
      <alignment horizontal="left" vertical="center" wrapText="1"/>
    </xf>
    <xf numFmtId="0" fontId="2" fillId="2" borderId="3" xfId="0" applyFont="1" applyFill="1" applyBorder="1" applyAlignment="1">
      <alignment horizontal="center" vertical="center" wrapText="1"/>
    </xf>
    <xf numFmtId="9" fontId="2" fillId="2" borderId="3" xfId="0" applyNumberFormat="1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7" fillId="3" borderId="3" xfId="0" applyFont="1" applyFill="1" applyBorder="1" applyAlignment="1">
      <alignment horizontal="center" vertical="center" wrapText="1"/>
    </xf>
    <xf numFmtId="9" fontId="7" fillId="3" borderId="3" xfId="0" applyNumberFormat="1" applyFont="1" applyFill="1" applyBorder="1" applyAlignment="1">
      <alignment horizontal="center" vertical="center" wrapText="1"/>
    </xf>
    <xf numFmtId="0" fontId="3" fillId="5" borderId="3" xfId="0" applyFont="1" applyFill="1" applyBorder="1" applyAlignment="1">
      <alignment horizontal="left" vertical="center" wrapText="1"/>
    </xf>
    <xf numFmtId="0" fontId="2" fillId="5" borderId="3" xfId="0" applyFont="1" applyFill="1" applyBorder="1" applyAlignment="1">
      <alignment horizontal="left" vertical="center" wrapText="1"/>
    </xf>
    <xf numFmtId="0" fontId="3" fillId="5" borderId="3" xfId="0" applyFont="1" applyFill="1" applyBorder="1" applyAlignment="1">
      <alignment horizontal="center" vertical="center" wrapText="1"/>
    </xf>
    <xf numFmtId="164" fontId="2" fillId="5" borderId="3" xfId="0" applyNumberFormat="1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3" fillId="5" borderId="5" xfId="0" applyFont="1" applyFill="1" applyBorder="1" applyAlignment="1">
      <alignment horizontal="center" vertical="center" wrapText="1"/>
    </xf>
    <xf numFmtId="0" fontId="3" fillId="5" borderId="5" xfId="0" applyFont="1" applyFill="1" applyBorder="1" applyAlignment="1">
      <alignment horizontal="left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3" fillId="6" borderId="3" xfId="0" applyFont="1" applyFill="1" applyBorder="1" applyAlignment="1">
      <alignment horizontal="left" vertical="center" wrapText="1"/>
    </xf>
    <xf numFmtId="0" fontId="3" fillId="6" borderId="3" xfId="0" applyFont="1" applyFill="1" applyBorder="1" applyAlignment="1">
      <alignment horizontal="center" vertical="center" wrapText="1"/>
    </xf>
    <xf numFmtId="0" fontId="2" fillId="6" borderId="5" xfId="0" applyFont="1" applyFill="1" applyBorder="1" applyAlignment="1">
      <alignment horizontal="center" vertical="center" wrapText="1"/>
    </xf>
    <xf numFmtId="0" fontId="3" fillId="6" borderId="5" xfId="0" applyFont="1" applyFill="1" applyBorder="1" applyAlignment="1">
      <alignment horizontal="left" vertical="center" wrapText="1"/>
    </xf>
    <xf numFmtId="0" fontId="3" fillId="6" borderId="5" xfId="0" applyFont="1" applyFill="1" applyBorder="1" applyAlignment="1">
      <alignment horizontal="center" vertical="center" wrapText="1"/>
    </xf>
    <xf numFmtId="164" fontId="3" fillId="6" borderId="3" xfId="0" applyNumberFormat="1" applyFont="1" applyFill="1" applyBorder="1" applyAlignment="1">
      <alignment vertical="center"/>
    </xf>
    <xf numFmtId="164" fontId="2" fillId="6" borderId="3" xfId="0" applyNumberFormat="1" applyFont="1" applyFill="1" applyBorder="1" applyAlignment="1">
      <alignment horizontal="center" vertical="center" wrapText="1"/>
    </xf>
    <xf numFmtId="164" fontId="3" fillId="6" borderId="5" xfId="0" applyNumberFormat="1" applyFont="1" applyFill="1" applyBorder="1" applyAlignment="1">
      <alignment vertical="center"/>
    </xf>
    <xf numFmtId="0" fontId="7" fillId="3" borderId="4" xfId="0" applyFont="1" applyFill="1" applyBorder="1" applyAlignment="1">
      <alignment horizontal="left" vertical="center" wrapText="1"/>
    </xf>
    <xf numFmtId="0" fontId="8" fillId="7" borderId="0" xfId="0" applyFont="1" applyFill="1"/>
    <xf numFmtId="0" fontId="9" fillId="7" borderId="0" xfId="0" applyFont="1" applyFill="1" applyAlignment="1">
      <alignment horizontal="left" vertical="center" wrapText="1"/>
    </xf>
    <xf numFmtId="0" fontId="10" fillId="7" borderId="0" xfId="0" applyFont="1" applyFill="1"/>
    <xf numFmtId="0" fontId="1" fillId="10" borderId="6" xfId="0" applyFont="1" applyFill="1" applyBorder="1" applyAlignment="1">
      <alignment horizontal="center" vertical="center" wrapText="1"/>
    </xf>
    <xf numFmtId="0" fontId="3" fillId="2" borderId="6" xfId="0" applyFont="1" applyFill="1" applyBorder="1" applyAlignment="1">
      <alignment horizontal="center" vertical="top" wrapText="1"/>
    </xf>
    <xf numFmtId="0" fontId="3" fillId="2" borderId="6" xfId="0" applyFont="1" applyFill="1" applyBorder="1" applyAlignment="1">
      <alignment horizontal="left" vertical="top" wrapText="1"/>
    </xf>
    <xf numFmtId="0" fontId="2" fillId="2" borderId="6" xfId="0" applyFont="1" applyFill="1" applyBorder="1" applyAlignment="1">
      <alignment horizontal="left" vertical="top" wrapText="1"/>
    </xf>
    <xf numFmtId="0" fontId="14" fillId="11" borderId="6" xfId="0" applyFont="1" applyFill="1" applyBorder="1" applyAlignment="1">
      <alignment horizontal="left" vertical="top" wrapText="1"/>
    </xf>
    <xf numFmtId="164" fontId="2" fillId="12" borderId="6" xfId="0" applyNumberFormat="1" applyFont="1" applyFill="1" applyBorder="1" applyAlignment="1">
      <alignment horizontal="center" vertical="top" wrapText="1"/>
    </xf>
    <xf numFmtId="0" fontId="3" fillId="11" borderId="6" xfId="0" applyFont="1" applyFill="1" applyBorder="1" applyAlignment="1">
      <alignment horizontal="left" vertical="top" wrapText="1"/>
    </xf>
    <xf numFmtId="0" fontId="3" fillId="5" borderId="6" xfId="0" applyFont="1" applyFill="1" applyBorder="1" applyAlignment="1">
      <alignment horizontal="center" vertical="top" wrapText="1"/>
    </xf>
    <xf numFmtId="0" fontId="3" fillId="5" borderId="6" xfId="0" applyFont="1" applyFill="1" applyBorder="1" applyAlignment="1">
      <alignment horizontal="left" vertical="top" wrapText="1"/>
    </xf>
    <xf numFmtId="0" fontId="2" fillId="5" borderId="6" xfId="0" applyFont="1" applyFill="1" applyBorder="1" applyAlignment="1">
      <alignment horizontal="left" vertical="top" wrapText="1"/>
    </xf>
    <xf numFmtId="0" fontId="2" fillId="9" borderId="6" xfId="0" applyFont="1" applyFill="1" applyBorder="1" applyAlignment="1">
      <alignment vertical="center" wrapText="1"/>
    </xf>
    <xf numFmtId="164" fontId="2" fillId="9" borderId="6" xfId="0" applyNumberFormat="1" applyFont="1" applyFill="1" applyBorder="1" applyAlignment="1">
      <alignment horizontal="center" vertical="center" wrapText="1"/>
    </xf>
    <xf numFmtId="0" fontId="2" fillId="9" borderId="6" xfId="0" applyFont="1" applyFill="1" applyBorder="1" applyAlignment="1">
      <alignment horizontal="left" vertical="center" wrapText="1"/>
    </xf>
    <xf numFmtId="0" fontId="3" fillId="5" borderId="6" xfId="0" applyFont="1" applyFill="1" applyBorder="1" applyAlignment="1">
      <alignment horizontal="center" vertical="center" wrapText="1"/>
    </xf>
    <xf numFmtId="0" fontId="2" fillId="5" borderId="6" xfId="0" applyFont="1" applyFill="1" applyBorder="1" applyAlignment="1">
      <alignment horizontal="left" vertical="center" wrapText="1"/>
    </xf>
    <xf numFmtId="1" fontId="3" fillId="5" borderId="6" xfId="0" applyNumberFormat="1" applyFont="1" applyFill="1" applyBorder="1" applyAlignment="1">
      <alignment horizontal="center" vertical="center" wrapText="1"/>
    </xf>
    <xf numFmtId="1" fontId="2" fillId="5" borderId="6" xfId="0" applyNumberFormat="1" applyFont="1" applyFill="1" applyBorder="1" applyAlignment="1">
      <alignment horizontal="center" vertical="center" wrapText="1"/>
    </xf>
    <xf numFmtId="164" fontId="2" fillId="5" borderId="6" xfId="0" applyNumberFormat="1" applyFont="1" applyFill="1" applyBorder="1" applyAlignment="1">
      <alignment horizontal="center" vertical="center" wrapText="1"/>
    </xf>
    <xf numFmtId="0" fontId="3" fillId="5" borderId="6" xfId="0" applyFont="1" applyFill="1" applyBorder="1" applyAlignment="1">
      <alignment horizontal="left" vertical="center" wrapText="1"/>
    </xf>
    <xf numFmtId="0" fontId="3" fillId="2" borderId="6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left" vertical="center" wrapText="1"/>
    </xf>
    <xf numFmtId="1" fontId="3" fillId="2" borderId="6" xfId="0" applyNumberFormat="1" applyFont="1" applyFill="1" applyBorder="1" applyAlignment="1">
      <alignment horizontal="center" vertical="center" wrapText="1"/>
    </xf>
    <xf numFmtId="1" fontId="2" fillId="2" borderId="6" xfId="0" applyNumberFormat="1" applyFont="1" applyFill="1" applyBorder="1" applyAlignment="1">
      <alignment horizontal="center" vertical="center" wrapText="1"/>
    </xf>
    <xf numFmtId="164" fontId="2" fillId="2" borderId="6" xfId="0" applyNumberFormat="1" applyFont="1" applyFill="1" applyBorder="1" applyAlignment="1">
      <alignment horizontal="center" vertical="center" wrapText="1"/>
    </xf>
    <xf numFmtId="0" fontId="3" fillId="2" borderId="6" xfId="0" applyFont="1" applyFill="1" applyBorder="1" applyAlignment="1">
      <alignment horizontal="left" vertical="center" wrapText="1"/>
    </xf>
    <xf numFmtId="0" fontId="2" fillId="9" borderId="6" xfId="0" applyFont="1" applyFill="1" applyBorder="1" applyAlignment="1">
      <alignment vertical="center"/>
    </xf>
    <xf numFmtId="0" fontId="16" fillId="4" borderId="5" xfId="0" applyFont="1" applyFill="1" applyBorder="1" applyAlignment="1">
      <alignment horizontal="center" vertical="center" wrapText="1"/>
    </xf>
    <xf numFmtId="165" fontId="3" fillId="2" borderId="3" xfId="0" applyNumberFormat="1" applyFont="1" applyFill="1" applyBorder="1" applyAlignment="1">
      <alignment horizontal="left" vertical="center" wrapText="1"/>
    </xf>
    <xf numFmtId="165" fontId="2" fillId="2" borderId="3" xfId="0" applyNumberFormat="1" applyFont="1" applyFill="1" applyBorder="1" applyAlignment="1">
      <alignment horizontal="center" vertical="center" wrapText="1"/>
    </xf>
    <xf numFmtId="165" fontId="3" fillId="5" borderId="3" xfId="0" applyNumberFormat="1" applyFont="1" applyFill="1" applyBorder="1" applyAlignment="1">
      <alignment horizontal="left" vertical="center" wrapText="1"/>
    </xf>
    <xf numFmtId="165" fontId="2" fillId="5" borderId="3" xfId="0" applyNumberFormat="1" applyFont="1" applyFill="1" applyBorder="1" applyAlignment="1">
      <alignment horizontal="center" vertical="center" wrapText="1"/>
    </xf>
    <xf numFmtId="165" fontId="3" fillId="2" borderId="5" xfId="0" applyNumberFormat="1" applyFont="1" applyFill="1" applyBorder="1" applyAlignment="1">
      <alignment horizontal="left" vertical="center" wrapText="1"/>
    </xf>
    <xf numFmtId="165" fontId="2" fillId="2" borderId="5" xfId="0" applyNumberFormat="1" applyFont="1" applyFill="1" applyBorder="1" applyAlignment="1">
      <alignment horizontal="center" vertical="center" wrapText="1"/>
    </xf>
    <xf numFmtId="0" fontId="17" fillId="4" borderId="5" xfId="0" applyFont="1" applyFill="1" applyBorder="1" applyAlignment="1">
      <alignment horizontal="center" vertical="center" wrapText="1"/>
    </xf>
    <xf numFmtId="0" fontId="17" fillId="4" borderId="10" xfId="0" applyFont="1" applyFill="1" applyBorder="1" applyAlignment="1">
      <alignment horizontal="center" vertical="center" wrapText="1"/>
    </xf>
    <xf numFmtId="166" fontId="17" fillId="4" borderId="10" xfId="0" applyNumberFormat="1" applyFont="1" applyFill="1" applyBorder="1" applyAlignment="1">
      <alignment horizontal="center" vertical="center" wrapText="1"/>
    </xf>
    <xf numFmtId="0" fontId="15" fillId="5" borderId="0" xfId="0" applyFont="1" applyFill="1" applyAlignment="1">
      <alignment horizontal="left" vertical="center" wrapText="1"/>
    </xf>
    <xf numFmtId="0" fontId="9" fillId="7" borderId="0" xfId="0" applyFont="1" applyFill="1" applyAlignment="1">
      <alignment horizontal="left" vertical="center" wrapText="1"/>
    </xf>
    <xf numFmtId="0" fontId="9" fillId="7" borderId="0" xfId="0" applyFont="1" applyFill="1" applyAlignment="1">
      <alignment vertical="center"/>
    </xf>
    <xf numFmtId="0" fontId="4" fillId="3" borderId="0" xfId="0" applyFont="1" applyFill="1" applyAlignment="1">
      <alignment horizontal="left" vertical="center" wrapText="1"/>
    </xf>
    <xf numFmtId="0" fontId="4" fillId="3" borderId="0" xfId="0" applyFont="1" applyFill="1" applyAlignment="1">
      <alignment vertical="center"/>
    </xf>
    <xf numFmtId="0" fontId="7" fillId="3" borderId="3" xfId="0" applyFont="1" applyFill="1" applyBorder="1" applyAlignment="1">
      <alignment horizontal="right" vertical="center" wrapText="1"/>
    </xf>
    <xf numFmtId="0" fontId="7" fillId="3" borderId="3" xfId="0" applyFont="1" applyFill="1" applyBorder="1" applyAlignment="1">
      <alignment vertical="center"/>
    </xf>
    <xf numFmtId="0" fontId="6" fillId="5" borderId="1" xfId="0" applyFont="1" applyFill="1" applyBorder="1" applyAlignment="1">
      <alignment horizontal="left" vertical="center" wrapText="1"/>
    </xf>
    <xf numFmtId="0" fontId="6" fillId="5" borderId="0" xfId="0" applyFont="1" applyFill="1" applyAlignment="1">
      <alignment vertical="center"/>
    </xf>
    <xf numFmtId="0" fontId="3" fillId="5" borderId="7" xfId="0" applyFont="1" applyFill="1" applyBorder="1" applyAlignment="1">
      <alignment horizontal="left" vertical="center" wrapText="1"/>
    </xf>
    <xf numFmtId="0" fontId="3" fillId="5" borderId="0" xfId="0" applyFont="1" applyFill="1" applyAlignment="1">
      <alignment horizontal="left" vertical="center" wrapText="1"/>
    </xf>
    <xf numFmtId="0" fontId="11" fillId="0" borderId="2" xfId="0" applyFont="1" applyBorder="1" applyAlignment="1">
      <alignment horizontal="left" vertical="center" wrapText="1"/>
    </xf>
    <xf numFmtId="0" fontId="11" fillId="0" borderId="0" xfId="0" applyFont="1" applyAlignment="1">
      <alignment vertical="center"/>
    </xf>
    <xf numFmtId="0" fontId="12" fillId="8" borderId="0" xfId="0" applyFont="1" applyFill="1" applyAlignment="1">
      <alignment horizontal="left" vertical="center" wrapText="1"/>
    </xf>
    <xf numFmtId="0" fontId="12" fillId="8" borderId="0" xfId="0" applyFont="1" applyFill="1" applyAlignment="1">
      <alignment horizontal="left" vertical="center"/>
    </xf>
    <xf numFmtId="0" fontId="13" fillId="9" borderId="0" xfId="0" applyFont="1" applyFill="1" applyAlignment="1">
      <alignment horizontal="left" vertical="center" wrapText="1"/>
    </xf>
    <xf numFmtId="0" fontId="13" fillId="9" borderId="0" xfId="0" applyFont="1" applyFill="1" applyAlignment="1">
      <alignment vertical="center"/>
    </xf>
    <xf numFmtId="0" fontId="2" fillId="9" borderId="6" xfId="0" applyFont="1" applyFill="1" applyBorder="1" applyAlignment="1">
      <alignment horizontal="right" vertical="center" wrapText="1"/>
    </xf>
    <xf numFmtId="0" fontId="2" fillId="9" borderId="6" xfId="0" applyFont="1" applyFill="1" applyBorder="1" applyAlignment="1">
      <alignment vertical="center" wrapText="1"/>
    </xf>
    <xf numFmtId="0" fontId="2" fillId="9" borderId="6" xfId="0" applyFont="1" applyFill="1" applyBorder="1" applyAlignment="1">
      <alignment horizontal="center" vertical="center"/>
    </xf>
    <xf numFmtId="0" fontId="2" fillId="5" borderId="4" xfId="0" applyFont="1" applyFill="1" applyBorder="1" applyAlignment="1">
      <alignment horizontal="center" vertical="center" wrapText="1"/>
    </xf>
    <xf numFmtId="0" fontId="2" fillId="5" borderId="9" xfId="0" applyFont="1" applyFill="1" applyBorder="1" applyAlignment="1">
      <alignment horizontal="center" vertical="center" wrapText="1"/>
    </xf>
    <xf numFmtId="0" fontId="2" fillId="5" borderId="8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2" borderId="9" xfId="0" applyFont="1" applyFill="1" applyBorder="1" applyAlignment="1">
      <alignment horizontal="center" vertical="center" wrapText="1"/>
    </xf>
    <xf numFmtId="0" fontId="2" fillId="2" borderId="8" xfId="0" applyFont="1" applyFill="1" applyBorder="1" applyAlignment="1">
      <alignment horizontal="center" vertical="center" wrapText="1"/>
    </xf>
    <xf numFmtId="0" fontId="11" fillId="0" borderId="11" xfId="0" applyFont="1" applyBorder="1" applyAlignment="1">
      <alignment horizontal="left" vertical="center" wrapText="1"/>
    </xf>
    <xf numFmtId="0" fontId="11" fillId="0" borderId="12" xfId="0" applyFont="1" applyBorder="1" applyAlignment="1">
      <alignment horizontal="left" vertical="center" wrapText="1"/>
    </xf>
    <xf numFmtId="0" fontId="17" fillId="4" borderId="13" xfId="0" applyFont="1" applyFill="1" applyBorder="1" applyAlignment="1">
      <alignment horizontal="center" vertical="center" wrapText="1"/>
    </xf>
    <xf numFmtId="0" fontId="17" fillId="4" borderId="14" xfId="0" applyFont="1" applyFill="1" applyBorder="1" applyAlignment="1">
      <alignment horizontal="center" vertical="center" wrapText="1"/>
    </xf>
    <xf numFmtId="0" fontId="17" fillId="4" borderId="15" xfId="0" applyFont="1" applyFill="1" applyBorder="1" applyAlignment="1">
      <alignment horizontal="center" vertical="center" wrapText="1"/>
    </xf>
    <xf numFmtId="0" fontId="7" fillId="3" borderId="4" xfId="0" applyFont="1" applyFill="1" applyBorder="1" applyAlignment="1">
      <alignment horizontal="center" vertical="center" wrapText="1"/>
    </xf>
    <xf numFmtId="0" fontId="7" fillId="3" borderId="8" xfId="0" applyFont="1" applyFill="1" applyBorder="1" applyAlignment="1">
      <alignment horizontal="center" vertical="center" wrapText="1"/>
    </xf>
    <xf numFmtId="0" fontId="7" fillId="3" borderId="4" xfId="0" applyFont="1" applyFill="1" applyBorder="1" applyAlignment="1">
      <alignment horizontal="right" vertical="center" wrapText="1"/>
    </xf>
    <xf numFmtId="0" fontId="7" fillId="3" borderId="9" xfId="0" applyFont="1" applyFill="1" applyBorder="1" applyAlignment="1">
      <alignment horizontal="right" vertical="center" wrapText="1"/>
    </xf>
    <xf numFmtId="0" fontId="7" fillId="3" borderId="8" xfId="0" applyFont="1" applyFill="1" applyBorder="1" applyAlignment="1">
      <alignment horizontal="right" vertical="center" wrapText="1"/>
    </xf>
  </cellXfs>
  <cellStyles count="1">
    <cellStyle name="Normal" xfId="0" builtinId="0"/>
  </cellStyles>
  <dxfs count="4">
    <dxf>
      <font>
        <b/>
        <i val="0"/>
        <color rgb="FF9C0006"/>
      </font>
      <fill>
        <patternFill patternType="solid">
          <fgColor indexed="64"/>
          <bgColor rgb="FFF4CCCC"/>
        </patternFill>
      </fill>
    </dxf>
    <dxf>
      <font>
        <b/>
        <i val="0"/>
        <color rgb="FF7F6000"/>
      </font>
      <fill>
        <patternFill patternType="solid">
          <fgColor indexed="64"/>
          <bgColor rgb="FFFFF2CC"/>
        </patternFill>
      </fill>
    </dxf>
    <dxf>
      <font>
        <b/>
        <i val="0"/>
        <color rgb="FF17365D"/>
      </font>
      <fill>
        <patternFill patternType="solid">
          <fgColor indexed="64"/>
          <bgColor rgb="FFD9EAF7"/>
        </patternFill>
      </fill>
    </dxf>
    <dxf>
      <font>
        <b/>
        <i val="0"/>
        <color rgb="FF375623"/>
      </font>
      <fill>
        <patternFill patternType="solid">
          <fgColor indexed="64"/>
          <bgColor rgb="FFE2F0D9"/>
        </patternFill>
      </fill>
    </dxf>
  </dxfs>
  <tableStyles count="0" defaultTableStyle="TableStyleMedium9" defaultPivotStyle="PivotStyleLight16"/>
  <colors>
    <mruColors>
      <color rgb="FF244B7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Relationship Id="rId14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192874-BE36-4DDF-8F5D-0C5F0B892009}">
  <sheetPr>
    <pageSetUpPr fitToPage="1"/>
  </sheetPr>
  <dimension ref="A1:E30"/>
  <sheetViews>
    <sheetView showGridLines="0" tabSelected="1" workbookViewId="0">
      <pane ySplit="3" topLeftCell="A4" activePane="bottomLeft" state="frozen"/>
      <selection pane="bottomLeft" activeCell="A21" sqref="A21:D21"/>
    </sheetView>
  </sheetViews>
  <sheetFormatPr defaultRowHeight="15"/>
  <cols>
    <col min="1" max="1" width="5" customWidth="1"/>
    <col min="2" max="2" width="28" customWidth="1"/>
    <col min="3" max="4" width="64" customWidth="1"/>
    <col min="5" max="5" width="49" customWidth="1"/>
  </cols>
  <sheetData>
    <row r="1" spans="1:5" s="38" customFormat="1" ht="24">
      <c r="A1" s="78" t="s">
        <v>0</v>
      </c>
      <c r="B1" s="79"/>
      <c r="C1" s="79"/>
      <c r="D1" s="79"/>
    </row>
    <row r="2" spans="1:5" s="3" customFormat="1" ht="13.5">
      <c r="A2" s="80" t="s">
        <v>1</v>
      </c>
      <c r="B2" s="81"/>
      <c r="C2" s="81"/>
      <c r="D2" s="81"/>
    </row>
    <row r="3" spans="1:5">
      <c r="A3" s="1"/>
      <c r="B3" s="1"/>
      <c r="C3" s="1"/>
      <c r="D3" s="1"/>
    </row>
    <row r="4" spans="1:5">
      <c r="A4" s="1"/>
      <c r="B4" s="15" t="s">
        <v>2</v>
      </c>
      <c r="C4" s="86" t="s">
        <v>3</v>
      </c>
      <c r="D4" s="87"/>
      <c r="E4" s="87"/>
    </row>
    <row r="5" spans="1:5">
      <c r="A5" s="1"/>
      <c r="B5" s="15" t="s">
        <v>4</v>
      </c>
      <c r="C5" s="86" t="s">
        <v>5</v>
      </c>
      <c r="D5" s="87"/>
      <c r="E5" s="87"/>
    </row>
    <row r="6" spans="1:5" ht="15" customHeight="1">
      <c r="A6" s="1"/>
      <c r="B6" s="37" t="s">
        <v>6</v>
      </c>
      <c r="C6" s="86" t="s">
        <v>7</v>
      </c>
      <c r="D6" s="87"/>
      <c r="E6" s="87"/>
    </row>
    <row r="7" spans="1:5">
      <c r="A7" s="1"/>
      <c r="B7" s="15" t="s">
        <v>8</v>
      </c>
      <c r="C7" s="86" t="str">
        <f>IF('Task Detail'!F33="","—",'Task Detail'!F33)</f>
        <v>2 / 28</v>
      </c>
      <c r="D7" s="87"/>
      <c r="E7" s="87"/>
    </row>
    <row r="8" spans="1:5">
      <c r="A8" s="1"/>
      <c r="B8" s="15" t="s">
        <v>9</v>
      </c>
      <c r="C8" s="86" t="str">
        <f>IF('Leave Plan'!E15=0,"—",'Leave Plan'!G15&amp;" of "&amp;'Leave Plan'!E15&amp;" man-days next week")</f>
        <v>—</v>
      </c>
      <c r="D8" s="87"/>
      <c r="E8" s="87"/>
    </row>
    <row r="9" spans="1:5">
      <c r="A9" s="1"/>
      <c r="B9" s="15" t="s">
        <v>10</v>
      </c>
      <c r="C9" s="86" t="s">
        <v>11</v>
      </c>
      <c r="D9" s="87"/>
      <c r="E9" s="87"/>
    </row>
    <row r="10" spans="1:5">
      <c r="A10" s="1"/>
      <c r="B10" s="15" t="s">
        <v>12</v>
      </c>
      <c r="C10" s="86" t="s">
        <v>13</v>
      </c>
      <c r="D10" s="87"/>
      <c r="E10" s="87"/>
    </row>
    <row r="11" spans="1:5">
      <c r="A11" s="1"/>
      <c r="B11" s="1"/>
      <c r="C11" s="1"/>
      <c r="D11" s="1"/>
    </row>
    <row r="12" spans="1:5" ht="15.75">
      <c r="A12" s="88" t="s">
        <v>14</v>
      </c>
      <c r="B12" s="89"/>
      <c r="C12" s="89"/>
      <c r="D12" s="89"/>
    </row>
    <row r="13" spans="1:5">
      <c r="A13" s="5" t="s">
        <v>15</v>
      </c>
      <c r="B13" s="5" t="s">
        <v>16</v>
      </c>
      <c r="C13" s="5" t="s">
        <v>17</v>
      </c>
      <c r="D13" s="5" t="s">
        <v>18</v>
      </c>
      <c r="E13" s="67" t="s">
        <v>19</v>
      </c>
    </row>
    <row r="14" spans="1:5">
      <c r="A14" s="23">
        <v>1</v>
      </c>
      <c r="B14" s="22" t="s">
        <v>20</v>
      </c>
      <c r="C14" s="22"/>
      <c r="D14" s="21"/>
      <c r="E14" s="21"/>
    </row>
    <row r="15" spans="1:5">
      <c r="A15" s="6">
        <v>2</v>
      </c>
      <c r="B15" s="22" t="s">
        <v>20</v>
      </c>
      <c r="C15" s="22"/>
      <c r="D15" s="7"/>
      <c r="E15" s="7"/>
    </row>
    <row r="16" spans="1:5">
      <c r="A16" s="23">
        <v>3</v>
      </c>
      <c r="B16" s="22" t="s">
        <v>20</v>
      </c>
      <c r="C16" s="22"/>
      <c r="D16" s="21"/>
      <c r="E16" s="21"/>
    </row>
    <row r="17" spans="1:5">
      <c r="A17" s="6">
        <v>4</v>
      </c>
      <c r="B17" s="22" t="s">
        <v>20</v>
      </c>
      <c r="C17" s="22"/>
      <c r="D17" s="7"/>
      <c r="E17" s="7"/>
    </row>
    <row r="18" spans="1:5">
      <c r="A18" s="23">
        <v>5</v>
      </c>
      <c r="B18" s="22" t="s">
        <v>20</v>
      </c>
      <c r="C18" s="22"/>
      <c r="D18" s="21"/>
      <c r="E18" s="21"/>
    </row>
    <row r="19" spans="1:5">
      <c r="A19" s="6">
        <v>6</v>
      </c>
      <c r="B19" s="22" t="s">
        <v>20</v>
      </c>
      <c r="C19" s="22"/>
      <c r="D19" s="7"/>
      <c r="E19" s="7"/>
    </row>
    <row r="20" spans="1:5">
      <c r="A20" s="1"/>
      <c r="B20" s="1"/>
      <c r="C20" s="1"/>
      <c r="D20" s="1"/>
    </row>
    <row r="21" spans="1:5" ht="15.75">
      <c r="A21" s="88" t="s">
        <v>21</v>
      </c>
      <c r="B21" s="89"/>
      <c r="C21" s="89"/>
      <c r="D21" s="89"/>
    </row>
    <row r="22" spans="1:5">
      <c r="A22" s="5" t="s">
        <v>15</v>
      </c>
      <c r="B22" s="5" t="s">
        <v>22</v>
      </c>
      <c r="C22" s="5" t="s">
        <v>23</v>
      </c>
      <c r="D22" s="5" t="s">
        <v>24</v>
      </c>
      <c r="E22" s="5" t="s">
        <v>25</v>
      </c>
    </row>
    <row r="23" spans="1:5" ht="25.5">
      <c r="A23" s="23">
        <v>1</v>
      </c>
      <c r="B23" s="21" t="s">
        <v>26</v>
      </c>
      <c r="C23" s="22" t="s">
        <v>27</v>
      </c>
      <c r="D23" s="21" t="s">
        <v>28</v>
      </c>
      <c r="E23" s="21" t="s">
        <v>29</v>
      </c>
    </row>
    <row r="24" spans="1:5" ht="25.5">
      <c r="A24" s="6">
        <v>2</v>
      </c>
      <c r="B24" s="7" t="s">
        <v>26</v>
      </c>
      <c r="C24" s="4" t="s">
        <v>27</v>
      </c>
      <c r="D24" s="21" t="s">
        <v>28</v>
      </c>
      <c r="E24" s="21" t="s">
        <v>29</v>
      </c>
    </row>
    <row r="25" spans="1:5" ht="25.5">
      <c r="A25" s="23">
        <v>3</v>
      </c>
      <c r="B25" s="21" t="s">
        <v>26</v>
      </c>
      <c r="C25" s="22" t="s">
        <v>27</v>
      </c>
      <c r="D25" s="21" t="s">
        <v>28</v>
      </c>
      <c r="E25" s="21" t="s">
        <v>29</v>
      </c>
    </row>
    <row r="26" spans="1:5">
      <c r="A26" s="1"/>
      <c r="B26" s="1"/>
      <c r="C26" s="1"/>
      <c r="D26" s="1"/>
    </row>
    <row r="27" spans="1:5" ht="15" customHeight="1">
      <c r="A27" s="77" t="s">
        <v>30</v>
      </c>
      <c r="B27" s="77"/>
      <c r="C27" s="77"/>
      <c r="D27" s="77"/>
      <c r="E27" s="77"/>
    </row>
    <row r="28" spans="1:5">
      <c r="A28" s="77"/>
      <c r="B28" s="77"/>
      <c r="C28" s="77"/>
      <c r="D28" s="77"/>
      <c r="E28" s="77"/>
    </row>
    <row r="29" spans="1:5">
      <c r="A29" s="77"/>
      <c r="B29" s="77"/>
      <c r="C29" s="77"/>
      <c r="D29" s="77"/>
      <c r="E29" s="77"/>
    </row>
    <row r="30" spans="1:5">
      <c r="A30" s="77"/>
      <c r="B30" s="77"/>
      <c r="C30" s="77"/>
      <c r="D30" s="77"/>
      <c r="E30" s="77"/>
    </row>
  </sheetData>
  <mergeCells count="12">
    <mergeCell ref="C8:E8"/>
    <mergeCell ref="C9:E9"/>
    <mergeCell ref="C10:E10"/>
    <mergeCell ref="A27:E30"/>
    <mergeCell ref="A1:D1"/>
    <mergeCell ref="A2:D2"/>
    <mergeCell ref="A12:D12"/>
    <mergeCell ref="A21:D21"/>
    <mergeCell ref="C4:E4"/>
    <mergeCell ref="C5:E5"/>
    <mergeCell ref="C6:E6"/>
    <mergeCell ref="C7:E7"/>
  </mergeCells>
  <printOptions horizontalCentered="1"/>
  <pageMargins left="0.4" right="0.4" top="0.5" bottom="0.5" header="0.5" footer="0.5"/>
  <pageSetup fitToHeight="0"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49591B-CB45-45E0-A5C6-F3B366E2B032}">
  <sheetPr>
    <pageSetUpPr fitToPage="1"/>
  </sheetPr>
  <dimension ref="A1:H21"/>
  <sheetViews>
    <sheetView showGridLines="0" workbookViewId="0">
      <pane ySplit="4" topLeftCell="A5" activePane="bottomLeft" state="frozen"/>
      <selection pane="bottomLeft" activeCell="A10" sqref="A10:H10"/>
    </sheetView>
  </sheetViews>
  <sheetFormatPr defaultRowHeight="15"/>
  <cols>
    <col min="1" max="1" width="6.42578125" customWidth="1"/>
    <col min="2" max="2" width="19.85546875" customWidth="1"/>
    <col min="3" max="3" width="21.28515625" customWidth="1"/>
    <col min="4" max="5" width="42.85546875" customWidth="1"/>
    <col min="6" max="7" width="14.42578125" customWidth="1"/>
    <col min="8" max="8" width="40" customWidth="1"/>
  </cols>
  <sheetData>
    <row r="1" spans="1:8" s="40" customFormat="1" ht="33.75" customHeight="1">
      <c r="A1" s="90" t="s">
        <v>0</v>
      </c>
      <c r="B1" s="91"/>
      <c r="C1" s="91"/>
      <c r="D1" s="91"/>
      <c r="E1" s="91"/>
      <c r="F1" s="91"/>
      <c r="G1" s="91"/>
      <c r="H1" s="91"/>
    </row>
    <row r="2" spans="1:8" s="3" customFormat="1" ht="24" customHeight="1">
      <c r="A2" s="92" t="s">
        <v>31</v>
      </c>
      <c r="B2" s="93"/>
      <c r="C2" s="93"/>
      <c r="D2" s="93"/>
      <c r="E2" s="93"/>
      <c r="F2" s="93"/>
      <c r="G2" s="93"/>
      <c r="H2" s="93"/>
    </row>
    <row r="3" spans="1:8">
      <c r="A3" s="1"/>
      <c r="B3" s="1"/>
      <c r="C3" s="1"/>
      <c r="D3" s="1"/>
      <c r="E3" s="1"/>
      <c r="F3" s="1"/>
      <c r="G3" s="1"/>
      <c r="H3" s="1"/>
    </row>
    <row r="4" spans="1:8" ht="51.75" customHeight="1">
      <c r="A4" s="41" t="s">
        <v>15</v>
      </c>
      <c r="B4" s="41" t="s">
        <v>22</v>
      </c>
      <c r="C4" s="41" t="s">
        <v>23</v>
      </c>
      <c r="D4" s="41" t="s">
        <v>32</v>
      </c>
      <c r="E4" s="41" t="s">
        <v>33</v>
      </c>
      <c r="F4" s="41" t="s">
        <v>34</v>
      </c>
      <c r="G4" s="41" t="s">
        <v>35</v>
      </c>
      <c r="H4" s="41" t="s">
        <v>36</v>
      </c>
    </row>
    <row r="5" spans="1:8" ht="48" customHeight="1">
      <c r="A5" s="42">
        <v>1</v>
      </c>
      <c r="B5" s="43"/>
      <c r="C5" s="44"/>
      <c r="D5" s="45" t="s">
        <v>37</v>
      </c>
      <c r="E5" s="45" t="s">
        <v>37</v>
      </c>
      <c r="F5" s="46">
        <f>(LEN(D5)-LEN(SUBSTITUTE(D5,"Full day","")))/LEN("Full day")+0.5*(LEN(D5)-LEN(SUBSTITUTE(D5,"Morning","")))/LEN("Morning")+0.5*(LEN(D5)-LEN(SUBSTITUTE(D5,"Afternoon","")))/LEN("Afternoon")</f>
        <v>0</v>
      </c>
      <c r="G5" s="46">
        <f>(LEN(E5)-LEN(SUBSTITUTE(E5,"Full day","")))/LEN("Full day")+0.5*(LEN(E5)-LEN(SUBSTITUTE(E5,"Morning","")))/LEN("Morning")+0.5*(LEN(E5)-LEN(SUBSTITUTE(E5,"Afternoon","")))/LEN("Afternoon")</f>
        <v>0</v>
      </c>
      <c r="H5" s="47"/>
    </row>
    <row r="6" spans="1:8" ht="48" customHeight="1">
      <c r="A6" s="48">
        <v>2</v>
      </c>
      <c r="B6" s="49"/>
      <c r="C6" s="50"/>
      <c r="D6" s="45" t="s">
        <v>37</v>
      </c>
      <c r="E6" s="45" t="s">
        <v>37</v>
      </c>
      <c r="F6" s="46">
        <f t="shared" ref="F6:F7" si="0">(LEN(D6)-LEN(SUBSTITUTE(D6,"Full day","")))/LEN("Full day")+0.5*(LEN(D6)-LEN(SUBSTITUTE(D6,"Morning","")))/LEN("Morning")+0.5*(LEN(D6)-LEN(SUBSTITUTE(D6,"Afternoon","")))/LEN("Afternoon")</f>
        <v>0</v>
      </c>
      <c r="G6" s="46">
        <f t="shared" ref="G6:G7" si="1">(LEN(E6)-LEN(SUBSTITUTE(E6,"Full day","")))/LEN("Full day")+0.5*(LEN(E6)-LEN(SUBSTITUTE(E6,"Morning","")))/LEN("Morning")+0.5*(LEN(E6)-LEN(SUBSTITUTE(E6,"Afternoon","")))/LEN("Afternoon")</f>
        <v>0</v>
      </c>
      <c r="H6" s="47"/>
    </row>
    <row r="7" spans="1:8" ht="48" customHeight="1">
      <c r="A7" s="42">
        <v>3</v>
      </c>
      <c r="B7" s="43"/>
      <c r="C7" s="44"/>
      <c r="D7" s="45" t="s">
        <v>37</v>
      </c>
      <c r="E7" s="45" t="s">
        <v>37</v>
      </c>
      <c r="F7" s="46">
        <f t="shared" si="0"/>
        <v>0</v>
      </c>
      <c r="G7" s="46">
        <f t="shared" si="1"/>
        <v>0</v>
      </c>
      <c r="H7" s="47"/>
    </row>
    <row r="8" spans="1:8" ht="33.75" customHeight="1">
      <c r="A8" s="51"/>
      <c r="B8" s="94" t="s">
        <v>38</v>
      </c>
      <c r="C8" s="95"/>
      <c r="D8" s="95"/>
      <c r="E8" s="95"/>
      <c r="F8" s="52">
        <f>SUM(F5:F7)</f>
        <v>0</v>
      </c>
      <c r="G8" s="52">
        <f>SUM(G5:G7)</f>
        <v>0</v>
      </c>
      <c r="H8" s="53" t="s">
        <v>39</v>
      </c>
    </row>
    <row r="10" spans="1:8" ht="32.25" customHeight="1">
      <c r="A10" s="84" t="s">
        <v>40</v>
      </c>
      <c r="B10" s="85"/>
      <c r="C10" s="85"/>
      <c r="D10" s="85"/>
      <c r="E10" s="85"/>
      <c r="F10" s="85"/>
      <c r="G10" s="85"/>
      <c r="H10" s="85"/>
    </row>
    <row r="11" spans="1:8" ht="32.25" customHeight="1"/>
    <row r="12" spans="1:8" ht="26.25" customHeight="1">
      <c r="A12" s="88" t="s">
        <v>41</v>
      </c>
      <c r="B12" s="89"/>
      <c r="C12" s="89"/>
      <c r="D12" s="89"/>
      <c r="E12" s="89"/>
      <c r="F12" s="89"/>
      <c r="G12" s="89"/>
      <c r="H12" s="89"/>
    </row>
    <row r="13" spans="1:8" ht="38.25" customHeight="1">
      <c r="A13" s="41" t="s">
        <v>15</v>
      </c>
      <c r="B13" s="41" t="s">
        <v>42</v>
      </c>
      <c r="C13" s="41" t="s">
        <v>43</v>
      </c>
      <c r="D13" s="41" t="s">
        <v>44</v>
      </c>
      <c r="E13" s="41" t="s">
        <v>45</v>
      </c>
      <c r="F13" s="41" t="s">
        <v>46</v>
      </c>
      <c r="G13" s="41" t="s">
        <v>47</v>
      </c>
      <c r="H13" s="41" t="s">
        <v>48</v>
      </c>
    </row>
    <row r="14" spans="1:8" ht="51.75" customHeight="1">
      <c r="A14" s="54">
        <v>1</v>
      </c>
      <c r="B14" s="55" t="s">
        <v>49</v>
      </c>
      <c r="C14" s="56">
        <v>5</v>
      </c>
      <c r="D14" s="57">
        <f>COUNTA($C$5:$C$7)</f>
        <v>0</v>
      </c>
      <c r="E14" s="58">
        <f>C14*D14</f>
        <v>0</v>
      </c>
      <c r="F14" s="58">
        <f>$F8</f>
        <v>0</v>
      </c>
      <c r="G14" s="58">
        <f>E14-F14</f>
        <v>0</v>
      </c>
      <c r="H14" s="59" t="s">
        <v>50</v>
      </c>
    </row>
    <row r="15" spans="1:8" ht="47.25" customHeight="1">
      <c r="A15" s="60">
        <v>2</v>
      </c>
      <c r="B15" s="61" t="s">
        <v>51</v>
      </c>
      <c r="C15" s="62">
        <v>5</v>
      </c>
      <c r="D15" s="63">
        <f>COUNTA($C$5:$C$7)</f>
        <v>0</v>
      </c>
      <c r="E15" s="64">
        <f>C15*D15</f>
        <v>0</v>
      </c>
      <c r="F15" s="64">
        <f>$G8</f>
        <v>0</v>
      </c>
      <c r="G15" s="64">
        <f>E15-F15</f>
        <v>0</v>
      </c>
      <c r="H15" s="65" t="s">
        <v>50</v>
      </c>
    </row>
    <row r="16" spans="1:8" ht="30" customHeight="1">
      <c r="A16" s="66"/>
      <c r="B16" s="94" t="s">
        <v>52</v>
      </c>
      <c r="C16" s="96"/>
      <c r="D16" s="96"/>
      <c r="E16" s="52">
        <f>SUM(E14:E15)</f>
        <v>0</v>
      </c>
      <c r="F16" s="52">
        <f>SUM(F14:F15)</f>
        <v>0</v>
      </c>
      <c r="G16" s="52">
        <f>SUM(G14:G15)</f>
        <v>0</v>
      </c>
      <c r="H16" s="53" t="s">
        <v>53</v>
      </c>
    </row>
    <row r="17" spans="1:8">
      <c r="A17" s="1"/>
      <c r="B17" s="1"/>
      <c r="C17" s="1"/>
      <c r="D17" s="1"/>
      <c r="E17" s="1"/>
      <c r="F17" s="1"/>
      <c r="G17" s="1"/>
      <c r="H17" s="1"/>
    </row>
    <row r="18" spans="1:8" ht="23.25" customHeight="1"/>
    <row r="19" spans="1:8" ht="23.25" customHeight="1"/>
    <row r="20" spans="1:8" ht="23.25" customHeight="1"/>
    <row r="21" spans="1:8" ht="23.25" customHeight="1"/>
  </sheetData>
  <mergeCells count="6">
    <mergeCell ref="A1:H1"/>
    <mergeCell ref="A2:H2"/>
    <mergeCell ref="B8:E8"/>
    <mergeCell ref="A12:H12"/>
    <mergeCell ref="B16:D16"/>
    <mergeCell ref="A10:H10"/>
  </mergeCells>
  <printOptions horizontalCentered="1"/>
  <pageMargins left="0.4" right="0.4" top="0.5" bottom="0.5" header="0.5" footer="0.5"/>
  <pageSetup fitToHeight="0"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AF9787-50C6-4FB0-AE72-2918167410C4}">
  <sheetPr>
    <pageSetUpPr fitToPage="1"/>
  </sheetPr>
  <dimension ref="A1:H35"/>
  <sheetViews>
    <sheetView showGridLines="0" workbookViewId="0">
      <pane ySplit="4" topLeftCell="A16" activePane="bottomLeft" state="frozen"/>
      <selection pane="bottomLeft" sqref="A1:H1"/>
    </sheetView>
  </sheetViews>
  <sheetFormatPr defaultRowHeight="15"/>
  <cols>
    <col min="1" max="1" width="5" customWidth="1"/>
    <col min="2" max="2" width="14" customWidth="1"/>
    <col min="3" max="3" width="42" customWidth="1"/>
    <col min="4" max="4" width="15" customWidth="1"/>
    <col min="5" max="5" width="21" customWidth="1"/>
    <col min="6" max="6" width="13" customWidth="1"/>
    <col min="7" max="7" width="10" customWidth="1"/>
    <col min="8" max="8" width="60" customWidth="1"/>
  </cols>
  <sheetData>
    <row r="1" spans="1:8" s="40" customFormat="1" ht="24">
      <c r="A1" s="78" t="s">
        <v>0</v>
      </c>
      <c r="B1" s="79"/>
      <c r="C1" s="79"/>
      <c r="D1" s="79"/>
      <c r="E1" s="79"/>
      <c r="F1" s="79"/>
      <c r="G1" s="79"/>
      <c r="H1" s="79"/>
    </row>
    <row r="2" spans="1:8" s="3" customFormat="1" ht="13.5">
      <c r="A2" s="80" t="s">
        <v>54</v>
      </c>
      <c r="B2" s="81"/>
      <c r="C2" s="81"/>
      <c r="D2" s="81"/>
      <c r="E2" s="81"/>
      <c r="F2" s="81"/>
      <c r="G2" s="81"/>
      <c r="H2" s="81"/>
    </row>
    <row r="3" spans="1:8">
      <c r="A3" s="1"/>
      <c r="B3" s="1"/>
      <c r="C3" s="1"/>
      <c r="D3" s="1"/>
      <c r="E3" s="1"/>
      <c r="F3" s="1"/>
      <c r="G3" s="1"/>
      <c r="H3" s="1"/>
    </row>
    <row r="4" spans="1:8">
      <c r="A4" s="5" t="s">
        <v>15</v>
      </c>
      <c r="B4" s="5" t="s">
        <v>55</v>
      </c>
      <c r="C4" s="5" t="s">
        <v>17</v>
      </c>
      <c r="D4" s="5" t="s">
        <v>56</v>
      </c>
      <c r="E4" s="5" t="s">
        <v>57</v>
      </c>
      <c r="F4" s="5" t="s">
        <v>58</v>
      </c>
      <c r="G4" s="5" t="s">
        <v>59</v>
      </c>
      <c r="H4" s="5" t="s">
        <v>48</v>
      </c>
    </row>
    <row r="5" spans="1:8">
      <c r="A5" s="6">
        <v>1</v>
      </c>
      <c r="B5" s="28"/>
      <c r="C5" s="29"/>
      <c r="D5" s="30"/>
      <c r="E5" s="29"/>
      <c r="F5" s="28" t="s">
        <v>60</v>
      </c>
      <c r="G5" s="17" cm="1">
        <f t="array" ref="G5">IF(F5="","",_xlfn.SWITCH(F5,"To Do",0%,"In Progress",50%,"In Review",70%,"Ready to Test",80%,"Done",100%,"Canceled",0%,0%))</f>
        <v>0</v>
      </c>
      <c r="H5" s="7"/>
    </row>
    <row r="6" spans="1:8">
      <c r="A6" s="23">
        <v>2</v>
      </c>
      <c r="B6" s="28"/>
      <c r="C6" s="29"/>
      <c r="D6" s="30"/>
      <c r="E6" s="29"/>
      <c r="F6" s="28" t="s">
        <v>61</v>
      </c>
      <c r="G6" s="17" cm="1">
        <f t="array" ref="G6">IF(F6="","",_xlfn.SWITCH(F6,"To Do",0%,"In Progress",50%,"In Review",70%,"Ready to Test",80%,"Done",100%,"Canceled",0%,0%))</f>
        <v>0.5</v>
      </c>
      <c r="H6" s="21"/>
    </row>
    <row r="7" spans="1:8">
      <c r="A7" s="6">
        <v>3</v>
      </c>
      <c r="B7" s="28"/>
      <c r="C7" s="29"/>
      <c r="D7" s="30"/>
      <c r="E7" s="29"/>
      <c r="F7" s="28" t="s">
        <v>62</v>
      </c>
      <c r="G7" s="17" cm="1">
        <f t="array" ref="G7">IF(F7="","",_xlfn.SWITCH(F7,"To Do",0%,"In Progress",50%,"In Review",70%,"Ready to Test",80%,"Done",100%,"Canceled",0%,0%))</f>
        <v>0.7</v>
      </c>
      <c r="H7" s="7"/>
    </row>
    <row r="8" spans="1:8">
      <c r="A8" s="23">
        <v>4</v>
      </c>
      <c r="B8" s="28"/>
      <c r="C8" s="29"/>
      <c r="D8" s="30"/>
      <c r="E8" s="29"/>
      <c r="F8" s="28" t="s">
        <v>63</v>
      </c>
      <c r="G8" s="17" cm="1">
        <f t="array" ref="G8">IF(F8="","",_xlfn.SWITCH(F8,"To Do",0%,"In Progress",50%,"In Review",70%,"Ready to Test",80%,"Done",100%,"Canceled",0%,0%))</f>
        <v>0.8</v>
      </c>
      <c r="H8" s="21"/>
    </row>
    <row r="9" spans="1:8">
      <c r="A9" s="6">
        <v>5</v>
      </c>
      <c r="B9" s="28"/>
      <c r="C9" s="29"/>
      <c r="D9" s="30"/>
      <c r="E9" s="29"/>
      <c r="F9" s="28" t="s">
        <v>64</v>
      </c>
      <c r="G9" s="17" cm="1">
        <f t="array" ref="G9">IF(F9="","",_xlfn.SWITCH(F9,"To Do",0%,"In Progress",50%,"In Review",70%,"Ready to Test",80%,"Done",100%,"Canceled",0%,0%))</f>
        <v>1</v>
      </c>
      <c r="H9" s="7"/>
    </row>
    <row r="10" spans="1:8">
      <c r="A10" s="23">
        <v>6</v>
      </c>
      <c r="B10" s="28"/>
      <c r="C10" s="29"/>
      <c r="D10" s="30"/>
      <c r="E10" s="29"/>
      <c r="F10" s="28" t="s">
        <v>65</v>
      </c>
      <c r="G10" s="17" cm="1">
        <f t="array" ref="G10">IF(F10="","",_xlfn.SWITCH(F10,"To Do",0%,"In Progress",50%,"In Review",70%,"Ready to Test",80%,"Done",100%,"Canceled",0%,0%))</f>
        <v>0</v>
      </c>
      <c r="H10" s="21"/>
    </row>
    <row r="11" spans="1:8">
      <c r="A11" s="6">
        <v>7</v>
      </c>
      <c r="B11" s="28"/>
      <c r="C11" s="29"/>
      <c r="D11" s="30"/>
      <c r="E11" s="29"/>
      <c r="F11" s="28" t="s">
        <v>60</v>
      </c>
      <c r="G11" s="17" cm="1">
        <f t="array" ref="G11">IF(F11="","",_xlfn.SWITCH(F11,"To Do",0%,"In Progress",50%,"In Review",70%,"Ready to Test",80%,"Done",100%,"Canceled",0%,0%))</f>
        <v>0</v>
      </c>
      <c r="H11" s="7"/>
    </row>
    <row r="12" spans="1:8">
      <c r="A12" s="23">
        <v>8</v>
      </c>
      <c r="B12" s="28"/>
      <c r="C12" s="29"/>
      <c r="D12" s="30"/>
      <c r="E12" s="29"/>
      <c r="F12" s="28" t="s">
        <v>60</v>
      </c>
      <c r="G12" s="17" cm="1">
        <f t="array" ref="G12">IF(F12="","",_xlfn.SWITCH(F12,"To Do",0%,"In Progress",50%,"In Review",70%,"Ready to Test",80%,"Done",100%,"Canceled",0%,0%))</f>
        <v>0</v>
      </c>
      <c r="H12" s="21"/>
    </row>
    <row r="13" spans="1:8">
      <c r="A13" s="6">
        <v>9</v>
      </c>
      <c r="B13" s="28"/>
      <c r="C13" s="29"/>
      <c r="D13" s="30"/>
      <c r="E13" s="29"/>
      <c r="F13" s="28" t="s">
        <v>60</v>
      </c>
      <c r="G13" s="17" cm="1">
        <f t="array" ref="G13">IF(F13="","",_xlfn.SWITCH(F13,"To Do",0%,"In Progress",50%,"In Review",70%,"Ready to Test",80%,"Done",100%,"Canceled",0%,0%))</f>
        <v>0</v>
      </c>
      <c r="H13" s="7"/>
    </row>
    <row r="14" spans="1:8">
      <c r="A14" s="23">
        <v>10</v>
      </c>
      <c r="B14" s="28"/>
      <c r="C14" s="29"/>
      <c r="D14" s="30"/>
      <c r="E14" s="29"/>
      <c r="F14" s="28" t="s">
        <v>60</v>
      </c>
      <c r="G14" s="17" cm="1">
        <f t="array" ref="G14">IF(F14="","",_xlfn.SWITCH(F14,"To Do",0%,"In Progress",50%,"In Review",70%,"Ready to Test",80%,"Done",100%,"Canceled",0%,0%))</f>
        <v>0</v>
      </c>
      <c r="H14" s="21"/>
    </row>
    <row r="15" spans="1:8">
      <c r="A15" s="6">
        <v>11</v>
      </c>
      <c r="B15" s="28"/>
      <c r="C15" s="29"/>
      <c r="D15" s="30"/>
      <c r="E15" s="29"/>
      <c r="F15" s="28" t="s">
        <v>60</v>
      </c>
      <c r="G15" s="17" cm="1">
        <f t="array" ref="G15">IF(F15="","",_xlfn.SWITCH(F15,"To Do",0%,"In Progress",50%,"In Review",70%,"Ready to Test",80%,"Done",100%,"Canceled",0%,0%))</f>
        <v>0</v>
      </c>
      <c r="H15" s="7"/>
    </row>
    <row r="16" spans="1:8">
      <c r="A16" s="23">
        <v>12</v>
      </c>
      <c r="B16" s="28"/>
      <c r="C16" s="29"/>
      <c r="D16" s="30"/>
      <c r="E16" s="29"/>
      <c r="F16" s="28" t="s">
        <v>60</v>
      </c>
      <c r="G16" s="17" cm="1">
        <f t="array" ref="G16">IF(F16="","",_xlfn.SWITCH(F16,"To Do",0%,"In Progress",50%,"In Review",70%,"Ready to Test",80%,"Done",100%,"Canceled",0%,0%))</f>
        <v>0</v>
      </c>
      <c r="H16" s="21"/>
    </row>
    <row r="17" spans="1:8">
      <c r="A17" s="6">
        <v>13</v>
      </c>
      <c r="B17" s="28"/>
      <c r="C17" s="29"/>
      <c r="D17" s="30"/>
      <c r="E17" s="29"/>
      <c r="F17" s="28" t="s">
        <v>61</v>
      </c>
      <c r="G17" s="17" cm="1">
        <f t="array" ref="G17">IF(F17="","",_xlfn.SWITCH(F17,"To Do",0%,"In Progress",50%,"In Review",70%,"Ready to Test",80%,"Done",100%,"Canceled",0%,0%))</f>
        <v>0.5</v>
      </c>
      <c r="H17" s="7"/>
    </row>
    <row r="18" spans="1:8">
      <c r="A18" s="23">
        <v>14</v>
      </c>
      <c r="B18" s="28"/>
      <c r="C18" s="29"/>
      <c r="D18" s="30"/>
      <c r="E18" s="29"/>
      <c r="F18" s="28" t="s">
        <v>62</v>
      </c>
      <c r="G18" s="17" cm="1">
        <f t="array" ref="G18">IF(F18="","",_xlfn.SWITCH(F18,"To Do",0%,"In Progress",50%,"In Review",70%,"Ready to Test",80%,"Done",100%,"Canceled",0%,0%))</f>
        <v>0.7</v>
      </c>
      <c r="H18" s="21"/>
    </row>
    <row r="19" spans="1:8">
      <c r="A19" s="6">
        <v>15</v>
      </c>
      <c r="B19" s="28"/>
      <c r="C19" s="29"/>
      <c r="D19" s="30"/>
      <c r="E19" s="29"/>
      <c r="F19" s="28" t="s">
        <v>63</v>
      </c>
      <c r="G19" s="17" cm="1">
        <f t="array" ref="G19">IF(F19="","",_xlfn.SWITCH(F19,"To Do",0%,"In Progress",50%,"In Review",70%,"Ready to Test",80%,"Done",100%,"Canceled",0%,0%))</f>
        <v>0.8</v>
      </c>
      <c r="H19" s="7"/>
    </row>
    <row r="20" spans="1:8">
      <c r="A20" s="23">
        <v>16</v>
      </c>
      <c r="B20" s="28"/>
      <c r="C20" s="29"/>
      <c r="D20" s="30"/>
      <c r="E20" s="29"/>
      <c r="F20" s="28" t="s">
        <v>64</v>
      </c>
      <c r="G20" s="17" cm="1">
        <f t="array" ref="G20">IF(F20="","",_xlfn.SWITCH(F20,"To Do",0%,"In Progress",50%,"In Review",70%,"Ready to Test",80%,"Done",100%,"Canceled",0%,0%))</f>
        <v>1</v>
      </c>
      <c r="H20" s="21"/>
    </row>
    <row r="21" spans="1:8">
      <c r="A21" s="6">
        <v>17</v>
      </c>
      <c r="B21" s="28"/>
      <c r="C21" s="29"/>
      <c r="D21" s="30"/>
      <c r="E21" s="29"/>
      <c r="F21" s="28" t="s">
        <v>65</v>
      </c>
      <c r="G21" s="17" cm="1">
        <f t="array" ref="G21">IF(F21="","",_xlfn.SWITCH(F21,"To Do",0%,"In Progress",50%,"In Review",70%,"Ready to Test",80%,"Done",100%,"Canceled",0%,0%))</f>
        <v>0</v>
      </c>
      <c r="H21" s="7"/>
    </row>
    <row r="22" spans="1:8">
      <c r="A22" s="23">
        <v>18</v>
      </c>
      <c r="B22" s="28"/>
      <c r="C22" s="29"/>
      <c r="D22" s="30"/>
      <c r="E22" s="29"/>
      <c r="F22" s="28" t="s">
        <v>60</v>
      </c>
      <c r="G22" s="17" cm="1">
        <f t="array" ref="G22">IF(F22="","",_xlfn.SWITCH(F22,"To Do",0%,"In Progress",50%,"In Review",70%,"Ready to Test",80%,"Done",100%,"Canceled",0%,0%))</f>
        <v>0</v>
      </c>
      <c r="H22" s="21"/>
    </row>
    <row r="23" spans="1:8">
      <c r="A23" s="6">
        <v>19</v>
      </c>
      <c r="B23" s="28"/>
      <c r="C23" s="29"/>
      <c r="D23" s="30"/>
      <c r="E23" s="29"/>
      <c r="F23" s="28" t="s">
        <v>60</v>
      </c>
      <c r="G23" s="17" cm="1">
        <f t="array" ref="G23">IF(F23="","",_xlfn.SWITCH(F23,"To Do",0%,"In Progress",50%,"In Review",70%,"Ready to Test",80%,"Done",100%,"Canceled",0%,0%))</f>
        <v>0</v>
      </c>
      <c r="H23" s="7"/>
    </row>
    <row r="24" spans="1:8">
      <c r="A24" s="23">
        <v>20</v>
      </c>
      <c r="B24" s="28"/>
      <c r="C24" s="29"/>
      <c r="D24" s="30"/>
      <c r="E24" s="29"/>
      <c r="F24" s="28" t="s">
        <v>60</v>
      </c>
      <c r="G24" s="17" cm="1">
        <f t="array" ref="G24">IF(F24="","",_xlfn.SWITCH(F24,"To Do",0%,"In Progress",50%,"In Review",70%,"Ready to Test",80%,"Done",100%,"Canceled",0%,0%))</f>
        <v>0</v>
      </c>
      <c r="H24" s="21"/>
    </row>
    <row r="25" spans="1:8">
      <c r="A25" s="6">
        <v>21</v>
      </c>
      <c r="B25" s="28"/>
      <c r="C25" s="29"/>
      <c r="D25" s="30"/>
      <c r="E25" s="29"/>
      <c r="F25" s="28" t="s">
        <v>60</v>
      </c>
      <c r="G25" s="17" cm="1">
        <f t="array" ref="G25">IF(F25="","",_xlfn.SWITCH(F25,"To Do",0%,"In Progress",50%,"In Review",70%,"Ready to Test",80%,"Done",100%,"Canceled",0%,0%))</f>
        <v>0</v>
      </c>
      <c r="H25" s="7"/>
    </row>
    <row r="26" spans="1:8">
      <c r="A26" s="23">
        <v>22</v>
      </c>
      <c r="B26" s="28"/>
      <c r="C26" s="29"/>
      <c r="D26" s="30"/>
      <c r="E26" s="29"/>
      <c r="F26" s="28" t="s">
        <v>60</v>
      </c>
      <c r="G26" s="17" cm="1">
        <f t="array" ref="G26">IF(F26="","",_xlfn.SWITCH(F26,"To Do",0%,"In Progress",50%,"In Review",70%,"Ready to Test",80%,"Done",100%,"Canceled",0%,0%))</f>
        <v>0</v>
      </c>
      <c r="H26" s="21"/>
    </row>
    <row r="27" spans="1:8">
      <c r="A27" s="6">
        <v>23</v>
      </c>
      <c r="B27" s="28"/>
      <c r="C27" s="29"/>
      <c r="D27" s="30"/>
      <c r="E27" s="29"/>
      <c r="F27" s="28" t="s">
        <v>60</v>
      </c>
      <c r="G27" s="17" cm="1">
        <f t="array" ref="G27">IF(F27="","",_xlfn.SWITCH(F27,"To Do",0%,"In Progress",50%,"In Review",70%,"Ready to Test",80%,"Done",100%,"Canceled",0%,0%))</f>
        <v>0</v>
      </c>
      <c r="H27" s="7"/>
    </row>
    <row r="28" spans="1:8">
      <c r="A28" s="23">
        <v>24</v>
      </c>
      <c r="B28" s="28"/>
      <c r="C28" s="29"/>
      <c r="D28" s="30"/>
      <c r="E28" s="29"/>
      <c r="F28" s="28" t="s">
        <v>60</v>
      </c>
      <c r="G28" s="17" cm="1">
        <f t="array" ref="G28">IF(F28="","",_xlfn.SWITCH(F28,"To Do",0%,"In Progress",50%,"In Review",70%,"Ready to Test",80%,"Done",100%,"Canceled",0%,0%))</f>
        <v>0</v>
      </c>
      <c r="H28" s="21"/>
    </row>
    <row r="29" spans="1:8">
      <c r="A29" s="6">
        <v>25</v>
      </c>
      <c r="B29" s="28"/>
      <c r="C29" s="29"/>
      <c r="D29" s="30"/>
      <c r="E29" s="29"/>
      <c r="F29" s="28" t="s">
        <v>60</v>
      </c>
      <c r="G29" s="17" cm="1">
        <f t="array" ref="G29">IF(F29="","",_xlfn.SWITCH(F29,"To Do",0%,"In Progress",50%,"In Review",70%,"Ready to Test",80%,"Done",100%,"Canceled",0%,0%))</f>
        <v>0</v>
      </c>
      <c r="H29" s="7"/>
    </row>
    <row r="30" spans="1:8">
      <c r="A30" s="23">
        <v>26</v>
      </c>
      <c r="B30" s="28"/>
      <c r="C30" s="29"/>
      <c r="D30" s="30"/>
      <c r="E30" s="29"/>
      <c r="F30" s="28" t="s">
        <v>60</v>
      </c>
      <c r="G30" s="17" cm="1">
        <f t="array" ref="G30">IF(F30="","",_xlfn.SWITCH(F30,"To Do",0%,"In Progress",50%,"In Review",70%,"Ready to Test",80%,"Done",100%,"Canceled",0%,0%))</f>
        <v>0</v>
      </c>
      <c r="H30" s="21"/>
    </row>
    <row r="31" spans="1:8">
      <c r="A31" s="6">
        <v>27</v>
      </c>
      <c r="B31" s="28"/>
      <c r="C31" s="29"/>
      <c r="D31" s="30"/>
      <c r="E31" s="29"/>
      <c r="F31" s="28" t="s">
        <v>60</v>
      </c>
      <c r="G31" s="17" cm="1">
        <f t="array" ref="G31">IF(F31="","",_xlfn.SWITCH(F31,"To Do",0%,"In Progress",50%,"In Review",70%,"Ready to Test",80%,"Done",100%,"Canceled",0%,0%))</f>
        <v>0</v>
      </c>
      <c r="H31" s="7"/>
    </row>
    <row r="32" spans="1:8">
      <c r="A32" s="26">
        <v>28</v>
      </c>
      <c r="B32" s="31"/>
      <c r="C32" s="32"/>
      <c r="D32" s="33"/>
      <c r="E32" s="32"/>
      <c r="F32" s="28" t="s">
        <v>60</v>
      </c>
      <c r="G32" s="17" cm="1">
        <f t="array" ref="G32">IF(F32="","",_xlfn.SWITCH(F32,"To Do",0%,"In Progress",50%,"In Review",70%,"Ready to Test",80%,"Done",100%,"Canceled",0%,0%))</f>
        <v>0</v>
      </c>
      <c r="H32" s="27"/>
    </row>
    <row r="33" spans="1:8">
      <c r="A33" s="13"/>
      <c r="B33" s="82" t="s">
        <v>66</v>
      </c>
      <c r="C33" s="83"/>
      <c r="D33" s="83"/>
      <c r="E33" s="83"/>
      <c r="F33" s="19" t="str">
        <f>IF(COUNTA($F$5:$F$32)=0,"",COUNTIF($F$5:$F$32,"Done")&amp;" / "&amp;COUNTA($F$5:$F$32))</f>
        <v>2 / 28</v>
      </c>
      <c r="G33" s="20">
        <f>IFERROR(AVERAGE($G$5:$G$32),"")</f>
        <v>0.21428571428571427</v>
      </c>
      <c r="H33" s="15" t="str">
        <f>IF(COUNTA($F$5:$F$32)=0,"","Done "&amp;COUNTIF($F$5:$F$32,"Done")&amp;"   ·   Planned "&amp;COUNTIF($F$5:$F$32,"Planned")&amp;"   ·   Blocked "&amp;COUNTIF($F$5:$F$32,"Blocked"))</f>
        <v>Done 2   ·   Planned 0   ·   Blocked 0</v>
      </c>
    </row>
    <row r="34" spans="1:8">
      <c r="A34" s="1"/>
      <c r="B34" s="1"/>
      <c r="C34" s="1"/>
      <c r="D34" s="1"/>
      <c r="E34" s="1"/>
      <c r="F34" s="1"/>
      <c r="G34" s="1"/>
      <c r="H34" s="1"/>
    </row>
    <row r="35" spans="1:8" ht="41.25" customHeight="1">
      <c r="A35" s="84" t="s">
        <v>67</v>
      </c>
      <c r="B35" s="85"/>
      <c r="C35" s="85"/>
      <c r="D35" s="85"/>
      <c r="E35" s="85"/>
      <c r="F35" s="85"/>
      <c r="G35" s="85"/>
      <c r="H35" s="85"/>
    </row>
  </sheetData>
  <autoFilter ref="A4:H33" xr:uid="{4CAF9787-50C6-4FB0-AE72-2918167410C4}"/>
  <mergeCells count="4">
    <mergeCell ref="A1:H1"/>
    <mergeCell ref="A2:H2"/>
    <mergeCell ref="B33:E33"/>
    <mergeCell ref="A35:H35"/>
  </mergeCells>
  <dataValidations count="1">
    <dataValidation type="list" allowBlank="1" showInputMessage="1" showErrorMessage="1" sqref="F5:F32" xr:uid="{B3BD1DE8-571F-4554-82B4-F8D6CFBAA920}">
      <formula1>"To Do, In Progress, In Review, Ready to Test, Done, Canceled"</formula1>
    </dataValidation>
  </dataValidations>
  <printOptions horizontalCentered="1"/>
  <pageMargins left="0.4" right="0.4" top="0.5" bottom="0.5" header="0.5" footer="0.5"/>
  <pageSetup fitToHeight="0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1CCDA3-3908-4AD6-A2E9-67BD55BDCECF}">
  <sheetPr>
    <pageSetUpPr fitToPage="1"/>
  </sheetPr>
  <dimension ref="A1:W29"/>
  <sheetViews>
    <sheetView showGridLines="0" workbookViewId="0">
      <selection activeCell="N10" sqref="N10"/>
    </sheetView>
  </sheetViews>
  <sheetFormatPr defaultRowHeight="15"/>
  <cols>
    <col min="1" max="1" width="5" customWidth="1"/>
    <col min="2" max="2" width="36" customWidth="1"/>
    <col min="3" max="4" width="13" customWidth="1"/>
    <col min="5" max="10" width="15" customWidth="1"/>
    <col min="11" max="11" width="12" customWidth="1"/>
  </cols>
  <sheetData>
    <row r="1" spans="1:23" s="40" customFormat="1" ht="24">
      <c r="A1" s="78" t="s">
        <v>0</v>
      </c>
      <c r="B1" s="79"/>
      <c r="C1" s="79"/>
      <c r="D1" s="79"/>
      <c r="E1" s="79"/>
      <c r="F1" s="79"/>
      <c r="G1" s="79"/>
      <c r="H1" s="79"/>
      <c r="I1" s="79"/>
      <c r="J1" s="79"/>
      <c r="K1" s="79"/>
    </row>
    <row r="2" spans="1:23" s="3" customFormat="1" ht="13.5">
      <c r="A2" s="80" t="s">
        <v>68</v>
      </c>
      <c r="B2" s="81"/>
      <c r="C2" s="81"/>
      <c r="D2" s="81"/>
      <c r="E2" s="81"/>
      <c r="F2" s="81"/>
      <c r="G2" s="81"/>
      <c r="H2" s="81"/>
      <c r="I2" s="81"/>
      <c r="J2" s="81"/>
      <c r="K2" s="81"/>
    </row>
    <row r="3" spans="1:23">
      <c r="A3" s="1"/>
      <c r="B3" s="1"/>
      <c r="C3" s="1"/>
      <c r="D3" s="1"/>
      <c r="E3" s="1"/>
      <c r="F3" s="1"/>
      <c r="G3" s="1"/>
      <c r="H3" s="1"/>
      <c r="I3" s="1"/>
      <c r="J3" s="1"/>
      <c r="K3" s="1"/>
    </row>
    <row r="4" spans="1:23" ht="25.5">
      <c r="A4" s="5" t="s">
        <v>15</v>
      </c>
      <c r="B4" s="5" t="s">
        <v>69</v>
      </c>
      <c r="C4" s="5" t="s">
        <v>70</v>
      </c>
      <c r="D4" s="5" t="s">
        <v>58</v>
      </c>
      <c r="E4" s="5" t="s">
        <v>71</v>
      </c>
      <c r="F4" s="5" t="s">
        <v>72</v>
      </c>
      <c r="G4" s="5" t="s">
        <v>73</v>
      </c>
      <c r="H4" s="5" t="s">
        <v>74</v>
      </c>
      <c r="I4" s="5" t="s">
        <v>75</v>
      </c>
      <c r="J4" s="5" t="s">
        <v>76</v>
      </c>
      <c r="K4" s="5" t="s">
        <v>77</v>
      </c>
      <c r="M4" s="103"/>
      <c r="N4" s="104"/>
      <c r="O4" s="104"/>
      <c r="P4" s="104"/>
      <c r="Q4" s="104"/>
      <c r="R4" s="104"/>
      <c r="S4" s="104"/>
      <c r="T4" s="104"/>
      <c r="U4" s="104"/>
      <c r="V4" s="104"/>
      <c r="W4" s="104"/>
    </row>
    <row r="5" spans="1:23">
      <c r="A5" s="6">
        <v>1</v>
      </c>
      <c r="B5" s="4"/>
      <c r="C5" s="6"/>
      <c r="D5" s="16"/>
      <c r="E5" s="34"/>
      <c r="F5" s="34"/>
      <c r="G5" s="34"/>
      <c r="H5" s="34"/>
      <c r="I5" s="34"/>
      <c r="J5" s="34"/>
      <c r="K5" s="8" t="str">
        <f>IF(COUNTA(B5:J5)=0,"",SUM(E5:J5))</f>
        <v/>
      </c>
    </row>
    <row r="6" spans="1:23">
      <c r="A6" s="23">
        <v>2</v>
      </c>
      <c r="B6" s="22"/>
      <c r="C6" s="23"/>
      <c r="D6" s="25"/>
      <c r="E6" s="34"/>
      <c r="F6" s="34"/>
      <c r="G6" s="34"/>
      <c r="H6" s="34"/>
      <c r="I6" s="34"/>
      <c r="J6" s="34"/>
      <c r="K6" s="24" t="str">
        <f t="shared" ref="K6:K19" si="0">IF(COUNTA(B6:J6)=0,"",SUM(E6:J6))</f>
        <v/>
      </c>
    </row>
    <row r="7" spans="1:23">
      <c r="A7" s="6">
        <v>3</v>
      </c>
      <c r="B7" s="4"/>
      <c r="C7" s="6"/>
      <c r="D7" s="16"/>
      <c r="E7" s="34"/>
      <c r="F7" s="34"/>
      <c r="G7" s="34"/>
      <c r="H7" s="34"/>
      <c r="I7" s="34"/>
      <c r="J7" s="34"/>
      <c r="K7" s="8" t="str">
        <f t="shared" si="0"/>
        <v/>
      </c>
    </row>
    <row r="8" spans="1:23">
      <c r="A8" s="23">
        <v>4</v>
      </c>
      <c r="B8" s="22"/>
      <c r="C8" s="23"/>
      <c r="D8" s="25"/>
      <c r="E8" s="34"/>
      <c r="F8" s="34"/>
      <c r="G8" s="34"/>
      <c r="H8" s="34"/>
      <c r="I8" s="34"/>
      <c r="J8" s="34"/>
      <c r="K8" s="24" t="str">
        <f t="shared" si="0"/>
        <v/>
      </c>
    </row>
    <row r="9" spans="1:23">
      <c r="A9" s="6">
        <v>5</v>
      </c>
      <c r="B9" s="4"/>
      <c r="C9" s="6"/>
      <c r="D9" s="16"/>
      <c r="E9" s="34"/>
      <c r="F9" s="34"/>
      <c r="G9" s="34"/>
      <c r="H9" s="35"/>
      <c r="I9" s="34"/>
      <c r="J9" s="34"/>
      <c r="K9" s="8" t="str">
        <f t="shared" si="0"/>
        <v/>
      </c>
    </row>
    <row r="10" spans="1:23">
      <c r="A10" s="23">
        <v>6</v>
      </c>
      <c r="B10" s="22"/>
      <c r="C10" s="23"/>
      <c r="D10" s="25"/>
      <c r="E10" s="34"/>
      <c r="F10" s="34"/>
      <c r="G10" s="34"/>
      <c r="H10" s="34"/>
      <c r="I10" s="34"/>
      <c r="J10" s="34"/>
      <c r="K10" s="24" t="str">
        <f t="shared" si="0"/>
        <v/>
      </c>
    </row>
    <row r="11" spans="1:23">
      <c r="A11" s="6">
        <v>7</v>
      </c>
      <c r="B11" s="4"/>
      <c r="C11" s="6"/>
      <c r="D11" s="16"/>
      <c r="E11" s="34"/>
      <c r="F11" s="34"/>
      <c r="G11" s="34"/>
      <c r="H11" s="34"/>
      <c r="I11" s="34"/>
      <c r="J11" s="34"/>
      <c r="K11" s="8" t="str">
        <f t="shared" si="0"/>
        <v/>
      </c>
    </row>
    <row r="12" spans="1:23">
      <c r="A12" s="23">
        <v>8</v>
      </c>
      <c r="B12" s="22"/>
      <c r="C12" s="23"/>
      <c r="D12" s="25"/>
      <c r="E12" s="34"/>
      <c r="F12" s="34"/>
      <c r="G12" s="34"/>
      <c r="H12" s="34"/>
      <c r="I12" s="34"/>
      <c r="J12" s="34"/>
      <c r="K12" s="24" t="str">
        <f t="shared" si="0"/>
        <v/>
      </c>
    </row>
    <row r="13" spans="1:23">
      <c r="A13" s="6">
        <v>9</v>
      </c>
      <c r="B13" s="4"/>
      <c r="C13" s="6"/>
      <c r="D13" s="16"/>
      <c r="E13" s="34"/>
      <c r="F13" s="34"/>
      <c r="G13" s="34"/>
      <c r="H13" s="35"/>
      <c r="I13" s="34"/>
      <c r="J13" s="34"/>
      <c r="K13" s="8" t="str">
        <f t="shared" si="0"/>
        <v/>
      </c>
    </row>
    <row r="14" spans="1:23">
      <c r="A14" s="23">
        <v>10</v>
      </c>
      <c r="B14" s="22"/>
      <c r="C14" s="23"/>
      <c r="D14" s="25"/>
      <c r="E14" s="34"/>
      <c r="F14" s="34"/>
      <c r="G14" s="34"/>
      <c r="H14" s="34"/>
      <c r="I14" s="34"/>
      <c r="J14" s="34"/>
      <c r="K14" s="24" t="str">
        <f t="shared" si="0"/>
        <v/>
      </c>
    </row>
    <row r="15" spans="1:23">
      <c r="A15" s="6">
        <v>11</v>
      </c>
      <c r="B15" s="4"/>
      <c r="C15" s="6"/>
      <c r="D15" s="16"/>
      <c r="E15" s="34"/>
      <c r="F15" s="34"/>
      <c r="G15" s="34"/>
      <c r="H15" s="34"/>
      <c r="I15" s="35"/>
      <c r="J15" s="34"/>
      <c r="K15" s="8" t="str">
        <f t="shared" si="0"/>
        <v/>
      </c>
    </row>
    <row r="16" spans="1:23">
      <c r="A16" s="23">
        <v>12</v>
      </c>
      <c r="B16" s="22"/>
      <c r="C16" s="23"/>
      <c r="D16" s="25"/>
      <c r="E16" s="34"/>
      <c r="F16" s="34"/>
      <c r="G16" s="34"/>
      <c r="H16" s="34"/>
      <c r="I16" s="35"/>
      <c r="J16" s="34"/>
      <c r="K16" s="24" t="str">
        <f t="shared" si="0"/>
        <v/>
      </c>
    </row>
    <row r="17" spans="1:11">
      <c r="A17" s="6">
        <v>13</v>
      </c>
      <c r="B17" s="4"/>
      <c r="C17" s="6"/>
      <c r="D17" s="16"/>
      <c r="E17" s="34"/>
      <c r="F17" s="34"/>
      <c r="G17" s="34"/>
      <c r="H17" s="35"/>
      <c r="I17" s="34"/>
      <c r="J17" s="34"/>
      <c r="K17" s="8" t="str">
        <f t="shared" si="0"/>
        <v/>
      </c>
    </row>
    <row r="18" spans="1:11">
      <c r="A18" s="23">
        <v>14</v>
      </c>
      <c r="B18" s="22"/>
      <c r="C18" s="23"/>
      <c r="D18" s="25"/>
      <c r="E18" s="34"/>
      <c r="F18" s="34"/>
      <c r="G18" s="34"/>
      <c r="H18" s="34"/>
      <c r="I18" s="34"/>
      <c r="J18" s="34"/>
      <c r="K18" s="24" t="str">
        <f t="shared" si="0"/>
        <v/>
      </c>
    </row>
    <row r="19" spans="1:11">
      <c r="A19" s="9">
        <v>15</v>
      </c>
      <c r="B19" s="11"/>
      <c r="C19" s="9"/>
      <c r="D19" s="18"/>
      <c r="E19" s="36"/>
      <c r="F19" s="36"/>
      <c r="G19" s="36"/>
      <c r="H19" s="36"/>
      <c r="I19" s="36"/>
      <c r="J19" s="36"/>
      <c r="K19" s="12" t="str">
        <f t="shared" si="0"/>
        <v/>
      </c>
    </row>
    <row r="20" spans="1:11">
      <c r="A20" s="13"/>
      <c r="B20" s="82" t="s">
        <v>78</v>
      </c>
      <c r="C20" s="83"/>
      <c r="D20" s="83"/>
      <c r="E20" s="14">
        <f>SUM(E5:E19)</f>
        <v>0</v>
      </c>
      <c r="F20" s="14">
        <f>SUM(F5:F19)</f>
        <v>0</v>
      </c>
      <c r="G20" s="14">
        <f>SUM(G5:G19)</f>
        <v>0</v>
      </c>
      <c r="H20" s="14">
        <f>SUM(H5:H19)</f>
        <v>0</v>
      </c>
      <c r="I20" s="14">
        <f>SUM(I5:I19)</f>
        <v>0</v>
      </c>
      <c r="J20" s="14">
        <f>SUM(J5:J19)</f>
        <v>0</v>
      </c>
      <c r="K20" s="14">
        <f>SUM(K5:K19)</f>
        <v>0</v>
      </c>
    </row>
    <row r="21" spans="1:1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</row>
    <row r="22" spans="1:11" ht="18.75" customHeight="1">
      <c r="A22" s="103" t="s">
        <v>79</v>
      </c>
      <c r="B22" s="104"/>
      <c r="C22" s="104"/>
      <c r="D22" s="104"/>
      <c r="E22" s="104"/>
      <c r="F22" s="104"/>
      <c r="G22" s="104"/>
      <c r="H22" s="104"/>
      <c r="I22" s="104"/>
      <c r="J22" s="104"/>
      <c r="K22" s="104"/>
    </row>
    <row r="23" spans="1:11" ht="15" customHeight="1">
      <c r="A23" s="74" t="s">
        <v>15</v>
      </c>
      <c r="B23" s="75" t="s">
        <v>80</v>
      </c>
      <c r="C23" s="76" t="s">
        <v>81</v>
      </c>
      <c r="D23" s="105" t="s">
        <v>82</v>
      </c>
      <c r="E23" s="106"/>
      <c r="F23" s="106"/>
      <c r="G23" s="106"/>
      <c r="H23" s="106"/>
      <c r="I23" s="106"/>
      <c r="J23" s="106"/>
      <c r="K23" s="107"/>
    </row>
    <row r="24" spans="1:11">
      <c r="A24" s="6">
        <v>1</v>
      </c>
      <c r="B24" s="4"/>
      <c r="C24" s="6"/>
      <c r="D24" s="100"/>
      <c r="E24" s="101"/>
      <c r="F24" s="101"/>
      <c r="G24" s="101"/>
      <c r="H24" s="101"/>
      <c r="I24" s="101"/>
      <c r="J24" s="101"/>
      <c r="K24" s="102"/>
    </row>
    <row r="25" spans="1:11">
      <c r="A25" s="23">
        <v>2</v>
      </c>
      <c r="B25" s="22"/>
      <c r="C25" s="23"/>
      <c r="D25" s="97"/>
      <c r="E25" s="98"/>
      <c r="F25" s="98"/>
      <c r="G25" s="98"/>
      <c r="H25" s="98"/>
      <c r="I25" s="98"/>
      <c r="J25" s="98"/>
      <c r="K25" s="99"/>
    </row>
    <row r="26" spans="1:11">
      <c r="A26" s="6">
        <v>3</v>
      </c>
      <c r="B26" s="4"/>
      <c r="C26" s="6"/>
      <c r="D26" s="100"/>
      <c r="E26" s="101"/>
      <c r="F26" s="101"/>
      <c r="G26" s="101"/>
      <c r="H26" s="101"/>
      <c r="I26" s="101"/>
      <c r="J26" s="101"/>
      <c r="K26" s="102"/>
    </row>
    <row r="27" spans="1:11">
      <c r="A27" s="23">
        <v>4</v>
      </c>
      <c r="B27" s="22"/>
      <c r="C27" s="23"/>
      <c r="D27" s="97"/>
      <c r="E27" s="98"/>
      <c r="F27" s="98"/>
      <c r="G27" s="98"/>
      <c r="H27" s="98"/>
      <c r="I27" s="98"/>
      <c r="J27" s="98"/>
      <c r="K27" s="99"/>
    </row>
    <row r="28" spans="1:11">
      <c r="A28" s="1"/>
    </row>
    <row r="29" spans="1:11">
      <c r="A29" s="1"/>
    </row>
  </sheetData>
  <mergeCells count="10">
    <mergeCell ref="A1:K1"/>
    <mergeCell ref="A2:K2"/>
    <mergeCell ref="B20:D20"/>
    <mergeCell ref="A22:K22"/>
    <mergeCell ref="D25:K25"/>
    <mergeCell ref="D26:K26"/>
    <mergeCell ref="D27:K27"/>
    <mergeCell ref="M4:W4"/>
    <mergeCell ref="D23:K23"/>
    <mergeCell ref="D24:K24"/>
  </mergeCells>
  <dataValidations count="1">
    <dataValidation type="list" allowBlank="1" showInputMessage="1" showErrorMessage="1" sqref="D5:D19" xr:uid="{29D3D5EF-79EB-465C-9347-2929A1029EA5}">
      <formula1>"Done,In progress,At risk,Planned,Blocked"</formula1>
    </dataValidation>
  </dataValidations>
  <printOptions horizontalCentered="1"/>
  <pageMargins left="0.4" right="0.4" top="0.5" bottom="0.5" header="0.5" footer="0.5"/>
  <pageSetup fitToHeight="0"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A75CA9-E861-4505-B701-A6B08C6CAF77}">
  <sheetPr>
    <pageSetUpPr fitToPage="1"/>
  </sheetPr>
  <dimension ref="A1:F22"/>
  <sheetViews>
    <sheetView showGridLines="0" workbookViewId="0">
      <pane ySplit="4" topLeftCell="A5" activePane="bottomLeft" state="frozen"/>
      <selection pane="bottomLeft" activeCell="B31" sqref="B31"/>
    </sheetView>
  </sheetViews>
  <sheetFormatPr defaultRowHeight="15"/>
  <cols>
    <col min="1" max="1" width="5" customWidth="1"/>
    <col min="2" max="2" width="34" customWidth="1"/>
    <col min="3" max="3" width="24" customWidth="1"/>
    <col min="4" max="4" width="18" customWidth="1"/>
    <col min="5" max="5" width="14" customWidth="1"/>
    <col min="6" max="6" width="60" customWidth="1"/>
  </cols>
  <sheetData>
    <row r="1" spans="1:6" s="40" customFormat="1" ht="24">
      <c r="A1" s="78" t="s">
        <v>0</v>
      </c>
      <c r="B1" s="79"/>
      <c r="C1" s="79"/>
      <c r="D1" s="79"/>
      <c r="E1" s="79"/>
      <c r="F1" s="79"/>
    </row>
    <row r="2" spans="1:6" s="3" customFormat="1" ht="13.5">
      <c r="A2" s="80" t="s">
        <v>83</v>
      </c>
      <c r="B2" s="81"/>
      <c r="C2" s="81"/>
      <c r="D2" s="81"/>
      <c r="E2" s="81"/>
      <c r="F2" s="81"/>
    </row>
    <row r="3" spans="1:6">
      <c r="A3" s="1"/>
      <c r="B3" s="1"/>
      <c r="C3" s="1"/>
      <c r="D3" s="1"/>
      <c r="E3" s="1"/>
      <c r="F3" s="1"/>
    </row>
    <row r="4" spans="1:6">
      <c r="A4" s="5" t="s">
        <v>15</v>
      </c>
      <c r="B4" s="5" t="s">
        <v>84</v>
      </c>
      <c r="C4" s="5" t="s">
        <v>85</v>
      </c>
      <c r="D4" s="5" t="s">
        <v>86</v>
      </c>
      <c r="E4" s="5" t="s">
        <v>58</v>
      </c>
      <c r="F4" s="5" t="s">
        <v>48</v>
      </c>
    </row>
    <row r="5" spans="1:6">
      <c r="A5" s="6">
        <v>1</v>
      </c>
      <c r="B5" s="4"/>
      <c r="C5" s="7"/>
      <c r="D5" s="6"/>
      <c r="E5" s="16" t="s">
        <v>87</v>
      </c>
      <c r="F5" s="7"/>
    </row>
    <row r="6" spans="1:6" ht="25.5">
      <c r="A6" s="23">
        <v>2</v>
      </c>
      <c r="B6" s="22"/>
      <c r="C6" s="21"/>
      <c r="D6" s="23"/>
      <c r="E6" s="25" t="s">
        <v>88</v>
      </c>
      <c r="F6" s="21"/>
    </row>
    <row r="7" spans="1:6">
      <c r="A7" s="6">
        <v>3</v>
      </c>
      <c r="B7" s="4"/>
      <c r="C7" s="7"/>
      <c r="D7" s="6"/>
      <c r="E7" s="16" t="s">
        <v>89</v>
      </c>
      <c r="F7" s="7"/>
    </row>
    <row r="8" spans="1:6">
      <c r="A8" s="23">
        <v>4</v>
      </c>
      <c r="B8" s="22"/>
      <c r="C8" s="21"/>
      <c r="D8" s="23"/>
      <c r="E8" s="25" t="s">
        <v>90</v>
      </c>
      <c r="F8" s="21"/>
    </row>
    <row r="9" spans="1:6">
      <c r="A9" s="6">
        <v>5</v>
      </c>
      <c r="B9" s="4"/>
      <c r="C9" s="7"/>
      <c r="D9" s="6"/>
      <c r="E9" s="16"/>
      <c r="F9" s="7"/>
    </row>
    <row r="10" spans="1:6">
      <c r="A10" s="23">
        <v>6</v>
      </c>
      <c r="B10" s="22"/>
      <c r="C10" s="21"/>
      <c r="D10" s="23"/>
      <c r="E10" s="25"/>
      <c r="F10" s="21"/>
    </row>
    <row r="11" spans="1:6">
      <c r="A11" s="6">
        <v>7</v>
      </c>
      <c r="B11" s="4"/>
      <c r="C11" s="7"/>
      <c r="D11" s="6"/>
      <c r="E11" s="16"/>
      <c r="F11" s="7"/>
    </row>
    <row r="12" spans="1:6">
      <c r="A12" s="23">
        <v>8</v>
      </c>
      <c r="B12" s="22"/>
      <c r="C12" s="21"/>
      <c r="D12" s="23"/>
      <c r="E12" s="25"/>
      <c r="F12" s="21"/>
    </row>
    <row r="13" spans="1:6">
      <c r="A13" s="6">
        <v>9</v>
      </c>
      <c r="B13" s="4"/>
      <c r="C13" s="7"/>
      <c r="D13" s="6"/>
      <c r="E13" s="16"/>
      <c r="F13" s="7"/>
    </row>
    <row r="14" spans="1:6">
      <c r="A14" s="23">
        <v>10</v>
      </c>
      <c r="B14" s="22"/>
      <c r="C14" s="21"/>
      <c r="D14" s="23"/>
      <c r="E14" s="25"/>
      <c r="F14" s="21"/>
    </row>
    <row r="15" spans="1:6">
      <c r="A15" s="9">
        <v>11</v>
      </c>
      <c r="B15" s="11"/>
      <c r="C15" s="10"/>
      <c r="D15" s="9"/>
      <c r="E15" s="18"/>
      <c r="F15" s="10"/>
    </row>
    <row r="16" spans="1:6">
      <c r="A16" s="13"/>
      <c r="B16" s="82" t="s">
        <v>91</v>
      </c>
      <c r="C16" s="83"/>
      <c r="D16" s="83"/>
      <c r="E16" s="19" t="str">
        <f>IF(COUNTA($E$5:$E$15)=0,"—",COUNTIF($E$5:$E$15,"Pass")&amp;"/"&amp;COUNTA($E$5:$E$15))</f>
        <v>1/4</v>
      </c>
      <c r="F16" s="15" t="str">
        <f>IF(COUNTA($E$5:$E$15)=0,"","Pass "&amp;COUNTIF($E$5:$E$15,"Pass")&amp;"   ·   Needs Improvement "&amp;COUNTIF($E$5:$E$15,"Needs Improvement")&amp;"   ·   At Risk "&amp;COUNTIF($E$5:$E$15,"At Risk")&amp;"   ·   Blocked "&amp;COUNTIF($E$5:$E$15,"Blocked"))</f>
        <v>Pass 1   ·   Needs Improvement 1   ·   At Risk 1   ·   Blocked 1</v>
      </c>
    </row>
    <row r="18" spans="1:6" ht="45.75" customHeight="1">
      <c r="A18" s="84" t="s">
        <v>92</v>
      </c>
      <c r="B18" s="85"/>
      <c r="C18" s="85"/>
      <c r="D18" s="85"/>
      <c r="E18" s="85"/>
      <c r="F18" s="85"/>
    </row>
    <row r="19" spans="1:6" ht="19.5" customHeight="1"/>
    <row r="20" spans="1:6" ht="15" customHeight="1">
      <c r="A20" s="77" t="s">
        <v>93</v>
      </c>
      <c r="B20" s="77"/>
      <c r="C20" s="77"/>
      <c r="D20" s="77"/>
      <c r="E20" s="77"/>
      <c r="F20" s="77"/>
    </row>
    <row r="21" spans="1:6">
      <c r="A21" s="77"/>
      <c r="B21" s="77"/>
      <c r="C21" s="77"/>
      <c r="D21" s="77"/>
      <c r="E21" s="77"/>
      <c r="F21" s="77"/>
    </row>
    <row r="22" spans="1:6">
      <c r="A22" s="77"/>
      <c r="B22" s="77"/>
      <c r="C22" s="77"/>
      <c r="D22" s="77"/>
      <c r="E22" s="77"/>
      <c r="F22" s="77"/>
    </row>
  </sheetData>
  <mergeCells count="5">
    <mergeCell ref="A20:F22"/>
    <mergeCell ref="A1:F1"/>
    <mergeCell ref="A2:F2"/>
    <mergeCell ref="B16:D16"/>
    <mergeCell ref="A18:F18"/>
  </mergeCells>
  <conditionalFormatting sqref="E5:E15">
    <cfRule type="expression" dxfId="3" priority="1">
      <formula>$E5="Pass"</formula>
    </cfRule>
  </conditionalFormatting>
  <conditionalFormatting sqref="E5:E15">
    <cfRule type="expression" dxfId="2" priority="2">
      <formula>$E5="Needs Improvement"</formula>
    </cfRule>
  </conditionalFormatting>
  <conditionalFormatting sqref="E5:E15">
    <cfRule type="expression" dxfId="1" priority="3">
      <formula>$E5="At Risk"</formula>
    </cfRule>
  </conditionalFormatting>
  <conditionalFormatting sqref="E5:E15">
    <cfRule type="expression" dxfId="0" priority="4">
      <formula>$E5="Blocked"</formula>
    </cfRule>
  </conditionalFormatting>
  <dataValidations count="1">
    <dataValidation type="list" allowBlank="1" showInputMessage="1" showErrorMessage="1" errorTitle="Status không hợp lệ" error="Chọn: Pass, Needs Improvement, At Risk hoặc Blocked." promptTitle="Quality metric status" prompt="Pass: đạt yêu cầu. Needs Improvement: chưa đạt, cần cải thiện. At Risk: có nguy cơ không ổn định hoặc không đạt. Blocked: không thể tiếp tục do phụ thuộc bên ngoài." sqref="E5:E15" xr:uid="{EA2D8BAC-3A4D-4357-9B18-6A9E61A786E0}">
      <formula1>"Pass,Needs Improvement,At Risk,Blocked"</formula1>
    </dataValidation>
  </dataValidations>
  <printOptions horizontalCentered="1"/>
  <pageMargins left="0.4" right="0.4" top="0.5" bottom="0.5" header="0.5" footer="0.5"/>
  <pageSetup fitToHeight="0"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E44027-1BDA-4444-8833-4ADA707256D9}">
  <sheetPr>
    <pageSetUpPr fitToPage="1"/>
  </sheetPr>
  <dimension ref="A1:H23"/>
  <sheetViews>
    <sheetView showGridLines="0" workbookViewId="0">
      <pane ySplit="4" topLeftCell="A5" activePane="bottomLeft" state="frozen"/>
      <selection pane="bottomLeft" activeCell="H6" sqref="H6"/>
    </sheetView>
  </sheetViews>
  <sheetFormatPr defaultRowHeight="15"/>
  <cols>
    <col min="1" max="1" width="5" customWidth="1"/>
    <col min="2" max="2" width="10" customWidth="1"/>
    <col min="3" max="3" width="48" customWidth="1"/>
    <col min="4" max="4" width="42" customWidth="1"/>
    <col min="5" max="5" width="16.7109375" customWidth="1"/>
    <col min="6" max="6" width="18.28515625" customWidth="1"/>
    <col min="7" max="7" width="20" customWidth="1"/>
    <col min="8" max="8" width="13" customWidth="1"/>
    <col min="9" max="9" width="12.42578125" customWidth="1"/>
  </cols>
  <sheetData>
    <row r="1" spans="1:8" s="40" customFormat="1" ht="24" customHeight="1">
      <c r="A1" s="78" t="s">
        <v>0</v>
      </c>
      <c r="B1" s="78"/>
      <c r="C1" s="78"/>
      <c r="D1" s="78"/>
      <c r="E1" s="78"/>
      <c r="F1" s="78"/>
      <c r="G1" s="78"/>
      <c r="H1" s="39"/>
    </row>
    <row r="2" spans="1:8" s="3" customFormat="1" ht="13.5" customHeight="1">
      <c r="A2" s="80" t="s">
        <v>94</v>
      </c>
      <c r="B2" s="80"/>
      <c r="C2" s="80"/>
      <c r="D2" s="80"/>
      <c r="E2" s="80"/>
      <c r="F2" s="80"/>
      <c r="G2" s="80"/>
      <c r="H2" s="2"/>
    </row>
    <row r="3" spans="1:8">
      <c r="A3" s="1"/>
      <c r="B3" s="1"/>
      <c r="C3" s="1"/>
      <c r="D3" s="1"/>
      <c r="E3" s="1"/>
      <c r="F3" s="1"/>
      <c r="G3" s="1"/>
      <c r="H3" s="1"/>
    </row>
    <row r="4" spans="1:8" ht="36" customHeight="1">
      <c r="A4" s="5" t="s">
        <v>15</v>
      </c>
      <c r="B4" s="5" t="s">
        <v>95</v>
      </c>
      <c r="C4" s="5" t="s">
        <v>96</v>
      </c>
      <c r="D4" s="5" t="s">
        <v>97</v>
      </c>
      <c r="E4" s="5" t="s">
        <v>98</v>
      </c>
      <c r="F4" s="5" t="s">
        <v>99</v>
      </c>
      <c r="G4" s="5" t="s">
        <v>100</v>
      </c>
      <c r="H4" s="5" t="s">
        <v>101</v>
      </c>
    </row>
    <row r="5" spans="1:8">
      <c r="A5" s="6">
        <v>1</v>
      </c>
      <c r="B5" s="16"/>
      <c r="C5" s="7"/>
      <c r="D5" s="7"/>
      <c r="E5" s="68"/>
      <c r="F5" s="69"/>
      <c r="G5" s="6"/>
      <c r="H5" s="16" t="s">
        <v>102</v>
      </c>
    </row>
    <row r="6" spans="1:8">
      <c r="A6" s="23">
        <v>2</v>
      </c>
      <c r="B6" s="25"/>
      <c r="C6" s="21"/>
      <c r="D6" s="21"/>
      <c r="E6" s="70"/>
      <c r="F6" s="71"/>
      <c r="G6" s="23"/>
      <c r="H6" s="25" t="s">
        <v>103</v>
      </c>
    </row>
    <row r="7" spans="1:8">
      <c r="A7" s="6">
        <v>3</v>
      </c>
      <c r="B7" s="16"/>
      <c r="C7" s="7"/>
      <c r="D7" s="7"/>
      <c r="E7" s="68"/>
      <c r="F7" s="69"/>
      <c r="G7" s="6"/>
      <c r="H7" s="16" t="s">
        <v>104</v>
      </c>
    </row>
    <row r="8" spans="1:8">
      <c r="A8" s="23">
        <v>4</v>
      </c>
      <c r="B8" s="25"/>
      <c r="C8" s="21"/>
      <c r="D8" s="21"/>
      <c r="E8" s="70"/>
      <c r="F8" s="71"/>
      <c r="G8" s="23"/>
      <c r="H8" s="25" t="s">
        <v>105</v>
      </c>
    </row>
    <row r="9" spans="1:8">
      <c r="A9" s="6">
        <v>5</v>
      </c>
      <c r="B9" s="16"/>
      <c r="C9" s="7"/>
      <c r="D9" s="7"/>
      <c r="E9" s="68"/>
      <c r="F9" s="69"/>
      <c r="G9" s="6"/>
      <c r="H9" s="16" t="s">
        <v>106</v>
      </c>
    </row>
    <row r="10" spans="1:8">
      <c r="A10" s="23">
        <v>6</v>
      </c>
      <c r="B10" s="25"/>
      <c r="C10" s="21"/>
      <c r="D10" s="21"/>
      <c r="E10" s="70"/>
      <c r="F10" s="71"/>
      <c r="G10" s="23"/>
      <c r="H10" s="25"/>
    </row>
    <row r="11" spans="1:8">
      <c r="A11" s="6">
        <v>7</v>
      </c>
      <c r="B11" s="16"/>
      <c r="C11" s="7"/>
      <c r="D11" s="7"/>
      <c r="E11" s="68"/>
      <c r="F11" s="69"/>
      <c r="G11" s="6"/>
      <c r="H11" s="16"/>
    </row>
    <row r="12" spans="1:8">
      <c r="A12" s="23">
        <v>8</v>
      </c>
      <c r="B12" s="25"/>
      <c r="C12" s="21"/>
      <c r="D12" s="21"/>
      <c r="E12" s="70"/>
      <c r="F12" s="71"/>
      <c r="G12" s="23"/>
      <c r="H12" s="25"/>
    </row>
    <row r="13" spans="1:8">
      <c r="A13" s="6">
        <v>9</v>
      </c>
      <c r="B13" s="16"/>
      <c r="C13" s="7"/>
      <c r="D13" s="7"/>
      <c r="E13" s="68"/>
      <c r="F13" s="69"/>
      <c r="G13" s="6"/>
      <c r="H13" s="16"/>
    </row>
    <row r="14" spans="1:8">
      <c r="A14" s="23">
        <v>10</v>
      </c>
      <c r="B14" s="25"/>
      <c r="C14" s="21"/>
      <c r="D14" s="21"/>
      <c r="E14" s="70"/>
      <c r="F14" s="71"/>
      <c r="G14" s="23"/>
      <c r="H14" s="25"/>
    </row>
    <row r="15" spans="1:8">
      <c r="A15" s="6">
        <v>11</v>
      </c>
      <c r="B15" s="16"/>
      <c r="C15" s="7"/>
      <c r="D15" s="7"/>
      <c r="E15" s="68"/>
      <c r="F15" s="69"/>
      <c r="G15" s="6"/>
      <c r="H15" s="16"/>
    </row>
    <row r="16" spans="1:8">
      <c r="A16" s="23">
        <v>12</v>
      </c>
      <c r="B16" s="25"/>
      <c r="C16" s="21"/>
      <c r="D16" s="21"/>
      <c r="E16" s="70"/>
      <c r="F16" s="71"/>
      <c r="G16" s="23"/>
      <c r="H16" s="25"/>
    </row>
    <row r="17" spans="1:8">
      <c r="A17" s="9">
        <v>13</v>
      </c>
      <c r="B17" s="18"/>
      <c r="C17" s="10"/>
      <c r="D17" s="10"/>
      <c r="E17" s="72"/>
      <c r="F17" s="73"/>
      <c r="G17" s="9"/>
      <c r="H17" s="18"/>
    </row>
    <row r="18" spans="1:8" ht="15" customHeight="1">
      <c r="A18" s="13"/>
      <c r="B18" s="110" t="s">
        <v>107</v>
      </c>
      <c r="C18" s="111"/>
      <c r="D18" s="111"/>
      <c r="E18" s="112"/>
      <c r="F18" s="108" t="str">
        <f>IF(COUNTA($H$5:$H$17)=0,"—","Critical "&amp;COUNTIF($H$5:$H$17,"Critical")&amp;"  ·  High "&amp;COUNTIF($H$5:$H$17,"High")&amp;"  ·  Medium "&amp;COUNTIF($H$5:$H$17,"Medium"))</f>
        <v>Critical 1  ·  High 1  ·  Medium 1</v>
      </c>
      <c r="G18" s="109"/>
      <c r="H18" s="19" t="str">
        <f>IF(COUNTA($H$5:$H$17)=0,"","✓ "&amp;COUNTIF($H$5:$H$17,"Resolved"))</f>
        <v>✓ 1</v>
      </c>
    </row>
    <row r="19" spans="1:8">
      <c r="A19" s="1"/>
      <c r="B19" s="1"/>
      <c r="C19" s="1"/>
      <c r="D19" s="1"/>
      <c r="E19" s="1"/>
      <c r="F19" s="1"/>
      <c r="G19" s="1"/>
      <c r="H19" s="1"/>
    </row>
    <row r="20" spans="1:8" ht="15" customHeight="1">
      <c r="A20" s="77" t="s">
        <v>108</v>
      </c>
      <c r="B20" s="77"/>
      <c r="C20" s="77"/>
      <c r="D20" s="77"/>
      <c r="E20" s="77"/>
      <c r="F20" s="77"/>
      <c r="G20" s="77"/>
      <c r="H20" s="77"/>
    </row>
    <row r="21" spans="1:8">
      <c r="A21" s="77"/>
      <c r="B21" s="77"/>
      <c r="C21" s="77"/>
      <c r="D21" s="77"/>
      <c r="E21" s="77"/>
      <c r="F21" s="77"/>
      <c r="G21" s="77"/>
      <c r="H21" s="77"/>
    </row>
    <row r="22" spans="1:8">
      <c r="A22" s="77"/>
      <c r="B22" s="77"/>
      <c r="C22" s="77"/>
      <c r="D22" s="77"/>
      <c r="E22" s="77"/>
      <c r="F22" s="77"/>
      <c r="G22" s="77"/>
      <c r="H22" s="77"/>
    </row>
    <row r="23" spans="1:8">
      <c r="A23" s="77"/>
      <c r="B23" s="77"/>
      <c r="C23" s="77"/>
      <c r="D23" s="77"/>
      <c r="E23" s="77"/>
      <c r="F23" s="77"/>
      <c r="G23" s="77"/>
      <c r="H23" s="77"/>
    </row>
  </sheetData>
  <autoFilter ref="A4:H17" xr:uid="{00000000-0009-0000-0000-000005000000}"/>
  <mergeCells count="5">
    <mergeCell ref="F18:G18"/>
    <mergeCell ref="A1:G1"/>
    <mergeCell ref="A2:G2"/>
    <mergeCell ref="A20:H23"/>
    <mergeCell ref="B18:E18"/>
  </mergeCells>
  <dataValidations count="1">
    <dataValidation type="list" allowBlank="1" showInputMessage="1" showErrorMessage="1" sqref="H5:H17" xr:uid="{9E16D9F9-1A80-4452-A9CA-A8BCB6FEECF1}">
      <formula1>"Critical,High,Medium,Low,Resolved"</formula1>
    </dataValidation>
  </dataValidations>
  <printOptions horizontalCentered="1"/>
  <pageMargins left="0.4" right="0.4" top="0.5" bottom="0.5" header="0.5" footer="0.5"/>
  <pageSetup fitToHeight="0" orientation="landscape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a3ad466-eaa0-48cc-86df-6cf1f77890d3">
      <Terms xmlns="http://schemas.microsoft.com/office/infopath/2007/PartnerControls"/>
    </lcf76f155ced4ddcb4097134ff3c332f>
    <TaxCatchAll xmlns="ec8da344-30d3-483a-9082-5de71f168610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3742E2C675AE341913A71439A43EC09" ma:contentTypeVersion="10" ma:contentTypeDescription="Create a new document." ma:contentTypeScope="" ma:versionID="42c354d59402ac0dfdd0bb22241ff43f">
  <xsd:schema xmlns:xsd="http://www.w3.org/2001/XMLSchema" xmlns:xs="http://www.w3.org/2001/XMLSchema" xmlns:p="http://schemas.microsoft.com/office/2006/metadata/properties" xmlns:ns2="7a3ad466-eaa0-48cc-86df-6cf1f77890d3" xmlns:ns3="ec8da344-30d3-483a-9082-5de71f168610" targetNamespace="http://schemas.microsoft.com/office/2006/metadata/properties" ma:root="true" ma:fieldsID="5b7b542696d9fd4ff37fca77d3259c68" ns2:_="" ns3:_="">
    <xsd:import namespace="7a3ad466-eaa0-48cc-86df-6cf1f77890d3"/>
    <xsd:import namespace="ec8da344-30d3-483a-9082-5de71f16861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a3ad466-eaa0-48cc-86df-6cf1f77890d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7c97e1a9-fa82-4965-b735-0e061acf926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c8da344-30d3-483a-9082-5de71f168610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f2a6329a-65ca-4d44-9913-99bee5bcb341}" ma:internalName="TaxCatchAll" ma:showField="CatchAllData" ma:web="ec8da344-30d3-483a-9082-5de71f16861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38C79C9-5BFB-42D9-9C74-41F8B1062BB8}"/>
</file>

<file path=customXml/itemProps2.xml><?xml version="1.0" encoding="utf-8"?>
<ds:datastoreItem xmlns:ds="http://schemas.openxmlformats.org/officeDocument/2006/customXml" ds:itemID="{BE062350-999A-449E-B9F1-0D560F67C16F}"/>
</file>

<file path=customXml/itemProps3.xml><?xml version="1.0" encoding="utf-8"?>
<ds:datastoreItem xmlns:ds="http://schemas.openxmlformats.org/officeDocument/2006/customXml" ds:itemID="{3A0688E7-EF57-428B-BAA5-35C2FC132913}"/>
</file>

<file path=docMetadata/LabelInfo.xml><?xml version="1.0" encoding="utf-8"?>
<clbl:labelList xmlns:clbl="http://schemas.microsoft.com/office/2020/mipLabelMetadata">
  <clbl:label id="{4b512a4e-bb54-4328-ad34-d43205aaa1ec}" enabled="1" method="Standard" siteId="{f01e930a-b52e-42b1-b70f-a8882b5d043b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Nhung Le Thi Hong</cp:lastModifiedBy>
  <cp:revision/>
  <dcterms:created xsi:type="dcterms:W3CDTF">2026-09-14T02:48:33Z</dcterms:created>
  <dcterms:modified xsi:type="dcterms:W3CDTF">2026-10-22T08:38:55Z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0x01010013742E2C675AE341913A71439A43EC09</vt:lpwstr>
  </property>
  <property fmtid="{D5CDD505-2E9C-101B-9397-08002B2CF9AE}" pid="3" name="MediaServiceImageTags">
    <vt:lpwstr/>
  </property>
</Properties>
</file>